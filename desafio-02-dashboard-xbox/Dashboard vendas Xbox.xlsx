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rtur\Downloads\"/>
    </mc:Choice>
  </mc:AlternateContent>
  <xr:revisionPtr revIDLastSave="0" documentId="13_ncr:1_{BD1D5DBE-BC92-48BD-BEE0-BE438604B394}" xr6:coauthVersionLast="47" xr6:coauthVersionMax="47" xr10:uidLastSave="{00000000-0000-0000-0000-000000000000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C̳álculos" sheetId="3" state="hidden" r:id="rId2"/>
    <sheet name="B̳ases" sheetId="2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0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D19" i="3"/>
  <c r="D27" i="3"/>
</calcChain>
</file>

<file path=xl/sharedStrings.xml><?xml version="1.0" encoding="utf-8"?>
<sst xmlns="http://schemas.openxmlformats.org/spreadsheetml/2006/main" count="1821" uniqueCount="319">
  <si>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</si>
  <si>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</si>
  <si>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</si>
  <si>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</si>
  <si>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</si>
  <si>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</si>
  <si>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</si>
  <si>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</si>
  <si>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</si>
  <si>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</si>
  <si>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</si>
  <si>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</si>
  <si>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</si>
  <si>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</si>
  <si>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</si>
  <si>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</si>
  <si>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</si>
  <si>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</si>
  <si>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</si>
  <si>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</si>
  <si>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</si>
  <si>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</si>
  <si>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</si>
  <si>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</si>
  <si>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</si>
  <si>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</si>
  <si>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</si>
  <si>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</si>
  <si>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</si>
  <si>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</si>
  <si>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</si>
  <si>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</si>
  <si>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</si>
  <si>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</si>
  <si>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</si>
  <si>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</si>
  <si>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</si>
  <si>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</si>
  <si>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</si>
  <si>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</si>
  <si>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</si>
  <si>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</si>
  <si>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</si>
  <si>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</si>
  <si>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</si>
  <si>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</si>
  <si>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</si>
  <si>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</si>
  <si>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</si>
  <si>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</si>
  <si>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</si>
  <si>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</si>
  <si>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</si>
  <si>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</si>
  <si>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</si>
  <si>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</si>
  <si>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</si>
  <si>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</si>
  <si>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</si>
  <si>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</si>
  <si>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</si>
  <si>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</si>
  <si>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</si>
  <si>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</si>
  <si>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</si>
  <si>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</si>
  <si>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</si>
  <si>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</si>
  <si>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</si>
  <si>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</si>
  <si>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</si>
  <si>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</si>
  <si>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</si>
  <si>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</si>
  <si>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</si>
  <si>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</si>
  <si>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</si>
  <si>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</si>
  <si>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</si>
  <si>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</si>
  <si>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</si>
  <si>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</si>
  <si>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</si>
  <si>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</si>
  <si>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</si>
  <si>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</si>
  <si>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</si>
  <si>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</si>
  <si>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</si>
  <si>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</si>
  <si>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</si>
  <si>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</si>
  <si>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</si>
  <si>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</si>
  <si>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</si>
  <si>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</si>
  <si>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</si>
  <si>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</si>
  <si>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</si>
  <si>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</si>
  <si>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</si>
  <si>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</si>
  <si>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</si>
  <si>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</si>
  <si>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</si>
  <si>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</si>
  <si>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</si>
  <si>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</si>
  <si>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</si>
  <si>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</si>
  <si>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</si>
  <si>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</si>
  <si>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</si>
  <si>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</si>
  <si>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</si>
  <si>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</si>
  <si>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</si>
  <si>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</si>
  <si>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</si>
  <si>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</si>
  <si>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</si>
  <si>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</si>
  <si>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</si>
  <si>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</si>
  <si>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</si>
  <si>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</si>
  <si>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</si>
  <si>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</si>
  <si>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</si>
  <si>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</si>
  <si>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</si>
  <si>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</si>
  <si>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</si>
  <si>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</si>
  <si>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</si>
  <si>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</si>
  <si>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</si>
  <si>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</si>
  <si>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</si>
  <si>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</si>
  <si>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</si>
  <si>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</si>
  <si>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</si>
  <si>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</si>
  <si>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</si>
  <si>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</si>
  <si>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</si>
  <si>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</si>
  <si>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</si>
  <si>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</si>
  <si>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</si>
  <si>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</si>
  <si>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</si>
  <si>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</si>
  <si>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</si>
  <si>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</si>
  <si>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</si>
  <si>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</si>
  <si>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</si>
  <si>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</si>
  <si>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</si>
  <si>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</si>
  <si>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</si>
  <si>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</si>
  <si>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</si>
  <si>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</si>
  <si>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</si>
  <si>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</si>
  <si>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</si>
  <si>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</si>
  <si>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</si>
  <si>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</si>
  <si>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</si>
  <si>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</si>
  <si>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</si>
  <si>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</si>
  <si>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</si>
  <si>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</si>
  <si>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</si>
  <si>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</si>
  <si>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</si>
  <si>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</si>
  <si>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</si>
  <si>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</si>
  <si>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</si>
  <si>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</si>
  <si>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</si>
  <si>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</si>
  <si>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</si>
  <si>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</si>
  <si>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</si>
  <si>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</si>
  <si>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</si>
  <si>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</si>
  <si>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</si>
  <si>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</si>
  <si>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</si>
  <si>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</si>
  <si>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</si>
  <si>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</si>
  <si>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</si>
  <si>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</si>
  <si>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</si>
  <si>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</si>
  <si>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</si>
  <si>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</si>
  <si>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</si>
  <si>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</si>
  <si>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</si>
  <si>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</si>
  <si>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</si>
  <si>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</si>
  <si>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</si>
  <si>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</si>
  <si>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</si>
  <si>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</si>
  <si>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</si>
  <si>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</si>
  <si>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</si>
  <si>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</si>
  <si>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</si>
  <si>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</si>
  <si>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</si>
  <si>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</si>
  <si>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</si>
  <si>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</si>
  <si>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</si>
  <si>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</si>
  <si>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</si>
  <si>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</si>
  <si>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</si>
  <si>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</si>
  <si>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</si>
  <si>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</si>
  <si>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</si>
  <si>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</si>
  <si>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</si>
  <si>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</si>
  <si>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</si>
  <si>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</si>
  <si>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</si>
  <si>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</si>
  <si>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</si>
  <si>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</si>
  <si>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</si>
  <si>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</si>
  <si>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</si>
  <si>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</si>
  <si>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</si>
  <si>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</si>
  <si>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</si>
  <si>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</si>
  <si>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</si>
  <si>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</si>
  <si>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</si>
  <si>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</si>
  <si>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</si>
  <si>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</si>
  <si>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</si>
  <si>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</si>
  <si>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</si>
  <si>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</si>
  <si>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</si>
  <si>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</si>
  <si>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</si>
  <si>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</si>
  <si>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</si>
  <si>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</si>
  <si>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</si>
  <si>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</si>
  <si>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</si>
  <si>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</si>
  <si>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</si>
  <si>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</si>
  <si>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</si>
  <si>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</si>
  <si>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</si>
  <si>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</si>
  <si>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</si>
  <si>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</si>
  <si>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</si>
  <si>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</si>
  <si>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</si>
  <si>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</si>
  <si>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</si>
  <si>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</si>
  <si>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</si>
  <si>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</si>
  <si>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</si>
  <si>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</si>
  <si>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</si>
  <si>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</si>
  <si>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</si>
  <si>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</si>
  <si>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</si>
  <si>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</si>
  <si>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</si>
  <si>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</si>
  <si>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</si>
  <si>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</si>
  <si>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</si>
  <si>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</si>
  <si>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</si>
  <si>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</si>
  <si>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</si>
  <si>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</si>
  <si>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</si>
  <si>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</si>
  <si>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</si>
  <si>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</si>
  <si>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</si>
  <si>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Subscription Price</t>
  </si>
  <si>
    <t>Rótulos de Linha</t>
  </si>
  <si>
    <t>Total Geral</t>
  </si>
  <si>
    <t>Soma de Total Value</t>
  </si>
  <si>
    <t xml:space="preserve">XBOX GAME PASS SUBSCRIPTION SALES </t>
  </si>
  <si>
    <t>Soma de Minecraft Season Pass Price</t>
  </si>
  <si>
    <t>EA Play Season Pass
Price ( Num)</t>
  </si>
  <si>
    <t>Soma de EA Play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</si>
</sst>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3"/>
      <color theme="3"/>
      <name val="Segoe UI"/>
      <family val="2"/>
    </font>
    <font>
      <b/>
      <sz val="13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5BF6A8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3" xfId="3" applyFont="1" applyBorder="1"/>
    <xf numFmtId="0" fontId="5" fillId="0" borderId="3" xfId="3" applyFont="1" applyBorder="1"/>
    <xf numFmtId="0" fontId="4" fillId="0" borderId="3" xfId="3" applyBorder="1"/>
    <xf numFmtId="44" fontId="0" fillId="0" borderId="0" xfId="0" applyNumberFormat="1"/>
    <xf numFmtId="0" fontId="0" fillId="0" borderId="0" xfId="0" applyNumberFormat="1"/>
    <xf numFmtId="164" fontId="3" fillId="0" borderId="0" xfId="0" applyNumberFormat="1" applyFont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45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$&quot;\ #,##0.00"/>
      <alignment horizontal="center" vertical="center" textRotation="0" wrapText="1" indent="0" justifyLastLine="0" shrinkToFit="0" readingOrder="0"/>
    </dxf>
    <dxf>
      <numFmt numFmtId="164" formatCode="&quot;R$&quot;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582E417F-F4D3-479B-9772-67BD6897E7D9}">
      <tableStyleElement type="wholeTable" dxfId="44"/>
      <tableStyleElement type="headerRow" dxfId="43"/>
    </tableStyle>
  </tableStyles>
  <colors>
    <mruColors>
      <color rgb="FF5BF6A8"/>
      <color rgb="FF22C55E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 Xbox.xlsx]C̳álculos!Tabela dinâmica3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0.4010381812153327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9.729328656703338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80930712026352"/>
          <c:y val="9.7107730814533569E-2"/>
          <c:w val="0.82045623581859728"/>
          <c:h val="0.8798921355526956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C̳álculos!$B$5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9.729328656703338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83-4F3D-98DF-C0CB27EDB034}"/>
                </c:ext>
              </c:extLst>
            </c:dLbl>
            <c:dLbl>
              <c:idx val="1"/>
              <c:layout>
                <c:manualLayout>
                  <c:x val="0.4010381812153327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83-4F3D-98DF-C0CB27EDB0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C̳álculos!$B$6:$B$8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3-4F3D-98DF-C0CB27EDB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5568464"/>
        <c:axId val="2035563664"/>
      </c:barChart>
      <c:catAx>
        <c:axId val="2035568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5563664"/>
        <c:crosses val="autoZero"/>
        <c:auto val="1"/>
        <c:lblAlgn val="ctr"/>
        <c:lblOffset val="100"/>
        <c:noMultiLvlLbl val="0"/>
      </c:catAx>
      <c:valAx>
        <c:axId val="203556366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355684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11</xdr:col>
      <xdr:colOff>304800</xdr:colOff>
      <xdr:row>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304800</xdr:colOff>
      <xdr:row>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105834</xdr:colOff>
      <xdr:row>9</xdr:row>
      <xdr:rowOff>52916</xdr:rowOff>
    </xdr:from>
    <xdr:to>
      <xdr:col>14</xdr:col>
      <xdr:colOff>410634</xdr:colOff>
      <xdr:row>10</xdr:row>
      <xdr:rowOff>148165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4647334" y="1068916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pt-BR"/>
        </a:p>
      </xdr:txBody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333375</xdr:colOff>
      <xdr:row>0</xdr:row>
      <xdr:rowOff>178595</xdr:rowOff>
    </xdr:from>
    <xdr:to>
      <xdr:col>0</xdr:col>
      <xdr:colOff>952498</xdr:colOff>
      <xdr:row>2</xdr:row>
      <xdr:rowOff>95249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56209C-56C4-4AB3-80D4-B2D32D211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7471" r="71122" b="18467"/>
        <a:stretch>
          <a:fillRect/>
        </a:stretch>
      </xdr:blipFill>
      <xdr:spPr>
        <a:xfrm>
          <a:off x="333375" y="178595"/>
          <a:ext cx="619123" cy="654842"/>
        </a:xfrm>
        <a:prstGeom prst="rect">
          <a:avLst/>
        </a:prstGeom>
      </xdr:spPr>
    </xdr:pic>
    <xdr:clientData/>
  </xdr:twoCellAnchor>
  <xdr:twoCellAnchor>
    <xdr:from>
      <xdr:col>1</xdr:col>
      <xdr:colOff>130968</xdr:colOff>
      <xdr:row>13</xdr:row>
      <xdr:rowOff>107155</xdr:rowOff>
    </xdr:from>
    <xdr:to>
      <xdr:col>19</xdr:col>
      <xdr:colOff>440531</xdr:colOff>
      <xdr:row>31</xdr:row>
      <xdr:rowOff>142874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82A6EAD-0CFE-4BBE-8054-3A606BE9C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47625</xdr:colOff>
      <xdr:row>4</xdr:row>
      <xdr:rowOff>83343</xdr:rowOff>
    </xdr:from>
    <xdr:to>
      <xdr:col>0</xdr:col>
      <xdr:colOff>1876425</xdr:colOff>
      <xdr:row>18</xdr:row>
      <xdr:rowOff>83343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Subscription Type">
              <a:extLst>
                <a:ext uri="{FF2B5EF4-FFF2-40B4-BE49-F238E27FC236}">
                  <a16:creationId xmlns:a16="http://schemas.microsoft.com/office/drawing/2014/main" id="{0658B608-BC70-4381-A26E-56F59BA468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188243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226219</xdr:colOff>
      <xdr:row>3</xdr:row>
      <xdr:rowOff>142876</xdr:rowOff>
    </xdr:from>
    <xdr:to>
      <xdr:col>10</xdr:col>
      <xdr:colOff>392906</xdr:colOff>
      <xdr:row>13</xdr:row>
      <xdr:rowOff>1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3E1DB5D6-1511-AD6E-DE4B-068AD1EF7E76}"/>
            </a:ext>
          </a:extLst>
        </xdr:cNvPr>
        <xdr:cNvSpPr/>
      </xdr:nvSpPr>
      <xdr:spPr>
        <a:xfrm>
          <a:off x="2166938" y="1047751"/>
          <a:ext cx="5262562" cy="15716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583403</xdr:colOff>
      <xdr:row>6</xdr:row>
      <xdr:rowOff>190497</xdr:rowOff>
    </xdr:from>
    <xdr:to>
      <xdr:col>10</xdr:col>
      <xdr:colOff>345283</xdr:colOff>
      <xdr:row>12</xdr:row>
      <xdr:rowOff>71434</xdr:rowOff>
    </xdr:to>
    <xdr:sp macro="" textlink="C̳álculos!D19">
      <xdr:nvSpPr>
        <xdr:cNvPr id="8" name="Retângulo: Cantos Arredondados 7">
          <a:extLst>
            <a:ext uri="{FF2B5EF4-FFF2-40B4-BE49-F238E27FC236}">
              <a16:creationId xmlns:a16="http://schemas.microsoft.com/office/drawing/2014/main" id="{021C1EC3-E4C4-EC3E-2CD8-BC0223CEBA80}"/>
            </a:ext>
          </a:extLst>
        </xdr:cNvPr>
        <xdr:cNvSpPr/>
      </xdr:nvSpPr>
      <xdr:spPr>
        <a:xfrm>
          <a:off x="3976684" y="1476372"/>
          <a:ext cx="3405193" cy="102393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5660E9F-06E0-4B2F-A68C-67C4E66D0EA2}" type="TxLink">
            <a:rPr lang="en-US" sz="4000" b="1" i="0" u="none" strike="noStrike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R$ 1.350,00</a:t>
          </a:fld>
          <a:endParaRPr lang="pt-BR" sz="4000" b="1">
            <a:solidFill>
              <a:srgbClr val="5BF6A8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345281</xdr:colOff>
      <xdr:row>6</xdr:row>
      <xdr:rowOff>23807</xdr:rowOff>
    </xdr:from>
    <xdr:to>
      <xdr:col>4</xdr:col>
      <xdr:colOff>571499</xdr:colOff>
      <xdr:row>13</xdr:row>
      <xdr:rowOff>130962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DE0E025-7B72-4285-A9C4-5BC48A0EA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309682"/>
          <a:ext cx="1440655" cy="1440655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3</xdr:row>
      <xdr:rowOff>142875</xdr:rowOff>
    </xdr:from>
    <xdr:to>
      <xdr:col>10</xdr:col>
      <xdr:colOff>392907</xdr:colOff>
      <xdr:row>6</xdr:row>
      <xdr:rowOff>166688</xdr:rowOff>
    </xdr:to>
    <xdr:sp macro="" textlink="">
      <xdr:nvSpPr>
        <xdr:cNvPr id="12" name="Retângulo: Cantos Superiores Arredondados 11">
          <a:extLst>
            <a:ext uri="{FF2B5EF4-FFF2-40B4-BE49-F238E27FC236}">
              <a16:creationId xmlns:a16="http://schemas.microsoft.com/office/drawing/2014/main" id="{95B9C22A-74B0-CEE6-EBAE-5AD7AB1CC15B}"/>
            </a:ext>
          </a:extLst>
        </xdr:cNvPr>
        <xdr:cNvSpPr/>
      </xdr:nvSpPr>
      <xdr:spPr>
        <a:xfrm>
          <a:off x="2178845" y="1047750"/>
          <a:ext cx="5250656" cy="404813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TOTAL SUBSCRIPTION</a:t>
          </a:r>
          <a:r>
            <a:rPr lang="pt-BR" sz="1400" baseline="0">
              <a:latin typeface="Segoe UI" panose="020B0502040204020203" pitchFamily="34" charset="0"/>
              <a:cs typeface="Segoe UI" panose="020B0502040204020203" pitchFamily="34" charset="0"/>
            </a:rPr>
            <a:t>S EA PLAY SEASON PASS</a:t>
          </a:r>
          <a:endParaRPr lang="pt-BR" sz="14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571500</xdr:colOff>
      <xdr:row>3</xdr:row>
      <xdr:rowOff>178594</xdr:rowOff>
    </xdr:from>
    <xdr:to>
      <xdr:col>19</xdr:col>
      <xdr:colOff>535781</xdr:colOff>
      <xdr:row>13</xdr:row>
      <xdr:rowOff>35719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1FFF0E8A-5420-2E03-A441-69DBD75A8138}"/>
            </a:ext>
          </a:extLst>
        </xdr:cNvPr>
        <xdr:cNvSpPr/>
      </xdr:nvSpPr>
      <xdr:spPr>
        <a:xfrm>
          <a:off x="7608094" y="1083469"/>
          <a:ext cx="5262562" cy="15716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83340</xdr:colOff>
      <xdr:row>7</xdr:row>
      <xdr:rowOff>11903</xdr:rowOff>
    </xdr:from>
    <xdr:to>
      <xdr:col>19</xdr:col>
      <xdr:colOff>452439</xdr:colOff>
      <xdr:row>12</xdr:row>
      <xdr:rowOff>83340</xdr:rowOff>
    </xdr:to>
    <xdr:sp macro="" textlink="C̳álculos!D27">
      <xdr:nvSpPr>
        <xdr:cNvPr id="17" name="Retângulo: Cantos Arredondados 16">
          <a:extLst>
            <a:ext uri="{FF2B5EF4-FFF2-40B4-BE49-F238E27FC236}">
              <a16:creationId xmlns:a16="http://schemas.microsoft.com/office/drawing/2014/main" id="{8D488825-96CB-E663-DD0C-43A6EE4290EE}"/>
            </a:ext>
          </a:extLst>
        </xdr:cNvPr>
        <xdr:cNvSpPr/>
      </xdr:nvSpPr>
      <xdr:spPr>
        <a:xfrm>
          <a:off x="9382121" y="1488278"/>
          <a:ext cx="3405193" cy="102393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C09FF9E2-4581-4ADE-9EBC-12CEE8C7BBD9}" type="TxLink">
            <a:rPr lang="en-US" sz="4000" b="1" i="0" u="none" strike="noStrike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rPr>
            <a:t>R$ 1.800,00</a:t>
          </a:fld>
          <a:endParaRPr lang="pt-BR" sz="4000" b="1">
            <a:solidFill>
              <a:srgbClr val="5BF6A8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583405</xdr:colOff>
      <xdr:row>3</xdr:row>
      <xdr:rowOff>154781</xdr:rowOff>
    </xdr:from>
    <xdr:to>
      <xdr:col>19</xdr:col>
      <xdr:colOff>535780</xdr:colOff>
      <xdr:row>6</xdr:row>
      <xdr:rowOff>178594</xdr:rowOff>
    </xdr:to>
    <xdr:sp macro="" textlink="">
      <xdr:nvSpPr>
        <xdr:cNvPr id="19" name="Retângulo: Cantos Superiores Arredondados 18">
          <a:extLst>
            <a:ext uri="{FF2B5EF4-FFF2-40B4-BE49-F238E27FC236}">
              <a16:creationId xmlns:a16="http://schemas.microsoft.com/office/drawing/2014/main" id="{F390C4A3-9AFE-40FF-DB9A-1A1CF4E9C96A}"/>
            </a:ext>
          </a:extLst>
        </xdr:cNvPr>
        <xdr:cNvSpPr/>
      </xdr:nvSpPr>
      <xdr:spPr>
        <a:xfrm>
          <a:off x="7619999" y="1059656"/>
          <a:ext cx="5250656" cy="404813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TOTAL SUBSCRIPTION</a:t>
          </a:r>
          <a:r>
            <a:rPr lang="pt-BR" sz="1400" baseline="0">
              <a:latin typeface="Segoe UI" panose="020B0502040204020203" pitchFamily="34" charset="0"/>
              <a:cs typeface="Segoe UI" panose="020B0502040204020203" pitchFamily="34" charset="0"/>
            </a:rPr>
            <a:t>S MINECRAFT PLAY SEASON PASS</a:t>
          </a:r>
          <a:endParaRPr lang="pt-BR" sz="14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11</xdr:col>
      <xdr:colOff>202406</xdr:colOff>
      <xdr:row>7</xdr:row>
      <xdr:rowOff>0</xdr:rowOff>
    </xdr:from>
    <xdr:to>
      <xdr:col>14</xdr:col>
      <xdr:colOff>96914</xdr:colOff>
      <xdr:row>10</xdr:row>
      <xdr:rowOff>180976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F8FB9E96-7DE2-4C4C-AF9D-33DEDA782D23}"/>
            </a:ext>
          </a:extLst>
        </xdr:cNvPr>
        <xdr:cNvGrpSpPr/>
      </xdr:nvGrpSpPr>
      <xdr:grpSpPr>
        <a:xfrm>
          <a:off x="7870031" y="1676400"/>
          <a:ext cx="1551858" cy="752476"/>
          <a:chOff x="3495675" y="5400674"/>
          <a:chExt cx="1549476" cy="752476"/>
        </a:xfrm>
      </xdr:grpSpPr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BD957BDE-8345-CB0A-D6C6-3921B58FE0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3" name="Gráfico 22">
            <a:extLst>
              <a:ext uri="{FF2B5EF4-FFF2-40B4-BE49-F238E27FC236}">
                <a16:creationId xmlns:a16="http://schemas.microsoft.com/office/drawing/2014/main" id="{444FB729-C8C7-A7E7-B17C-2072825D37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0.00092</cdr:y>
    </cdr:from>
    <cdr:to>
      <cdr:x>1</cdr:x>
      <cdr:y>0.11776</cdr:y>
    </cdr:to>
    <cdr:sp macro="" textlink="">
      <cdr:nvSpPr>
        <cdr:cNvPr id="3" name="Retângulo: Cantos Superiores Arredondados 2">
          <a:extLst xmlns:a="http://schemas.openxmlformats.org/drawingml/2006/main">
            <a:ext uri="{FF2B5EF4-FFF2-40B4-BE49-F238E27FC236}">
              <a16:creationId xmlns:a16="http://schemas.microsoft.com/office/drawing/2014/main" id="{95B9C22A-74B0-CEE6-EBAE-5AD7AB1CC15B}"/>
            </a:ext>
          </a:extLst>
        </cdr:cNvPr>
        <cdr:cNvSpPr/>
      </cdr:nvSpPr>
      <cdr:spPr>
        <a:xfrm xmlns:a="http://schemas.openxmlformats.org/drawingml/2006/main">
          <a:off x="0" y="3176"/>
          <a:ext cx="10703719" cy="404813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22C55E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TOTAL SUBSCRIPTION</a:t>
          </a:r>
          <a:r>
            <a:rPr lang="pt-BR" sz="1400" baseline="0">
              <a:latin typeface="Segoe UI" panose="020B0502040204020203" pitchFamily="34" charset="0"/>
              <a:cs typeface="Segoe UI" panose="020B0502040204020203" pitchFamily="34" charset="0"/>
            </a:rPr>
            <a:t>S XBOX GAME PASS</a:t>
          </a:r>
          <a:endParaRPr lang="pt-BR" sz="1400"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Salvador" refreshedDate="46036.443669907407" createdVersion="8" refreshedVersion="8" minRefreshableVersion="3" recordCount="296" xr:uid="{8FF7441F-9367-4808-84E3-0B49342A2189}">
  <cacheSource type="worksheet">
    <worksheetSource ref="A1:N1048576" sheet="B̳ases"/>
  </cacheSource>
  <cacheFields count="14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/>
    </cacheField>
    <cacheField name="EA Play Season Pass_x000a_Price" numFmtId="164">
      <sharedItems containsString="0" containsBlank="1" containsNumber="1" containsInteger="1" minValue="30" maxValue="30"/>
    </cacheField>
    <cacheField name="EA Play Season Pass_x000a_Price ( Num)" numFmtId="164">
      <sharedItems containsBlank="1" containsMixedTypes="1" containsNumber="1" containsInteger="1" minValue="30" maxValue="30"/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102914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x v="0"/>
    <d v="2024-01-01T00:00:00"/>
    <x v="0"/>
    <n v="15"/>
    <x v="0"/>
    <s v="Yes"/>
    <n v="30"/>
    <n v="30"/>
    <s v="Yes"/>
    <n v="20"/>
    <n v="5"/>
    <n v="60"/>
  </r>
  <r>
    <n v="3232"/>
    <s v="Maria Oliveira"/>
    <x v="1"/>
    <d v="2024-01-15T00:00:00"/>
    <x v="1"/>
    <n v="5"/>
    <x v="1"/>
    <s v="No"/>
    <m/>
    <s v=""/>
    <s v="No"/>
    <n v="0"/>
    <n v="0"/>
    <n v="5"/>
  </r>
  <r>
    <n v="3233"/>
    <s v="Lucas Fernandes"/>
    <x v="2"/>
    <d v="2024-02-10T00:00:00"/>
    <x v="0"/>
    <n v="10"/>
    <x v="2"/>
    <s v="No"/>
    <m/>
    <s v=""/>
    <s v="Yes"/>
    <n v="20"/>
    <n v="10"/>
    <n v="20"/>
  </r>
  <r>
    <n v="3234"/>
    <s v="Ana Souza"/>
    <x v="0"/>
    <d v="2024-02-20T00:00:00"/>
    <x v="1"/>
    <n v="15"/>
    <x v="0"/>
    <s v="Yes"/>
    <n v="30"/>
    <n v="30"/>
    <s v="Yes"/>
    <n v="20"/>
    <n v="3"/>
    <n v="62"/>
  </r>
  <r>
    <n v="3235"/>
    <s v="Pedro Gonçalves"/>
    <x v="1"/>
    <d v="2024-03-05T00:00:00"/>
    <x v="0"/>
    <n v="5"/>
    <x v="0"/>
    <s v="No"/>
    <m/>
    <s v=""/>
    <s v="No"/>
    <n v="0"/>
    <n v="1"/>
    <n v="4"/>
  </r>
  <r>
    <n v="3236"/>
    <s v="Felipe Costa"/>
    <x v="2"/>
    <d v="2024-03-02T00:00:00"/>
    <x v="1"/>
    <n v="10"/>
    <x v="0"/>
    <s v="No"/>
    <m/>
    <s v=""/>
    <s v="Yes"/>
    <n v="20"/>
    <n v="2"/>
    <n v="28"/>
  </r>
  <r>
    <n v="3237"/>
    <s v="Camila Ribeiro"/>
    <x v="0"/>
    <d v="2024-03-03T00:00:00"/>
    <x v="0"/>
    <n v="15"/>
    <x v="2"/>
    <s v="Yes"/>
    <n v="30"/>
    <n v="30"/>
    <s v="Yes"/>
    <n v="20"/>
    <n v="10"/>
    <n v="55"/>
  </r>
  <r>
    <n v="3238"/>
    <s v="André Mendes"/>
    <x v="1"/>
    <d v="2024-03-04T00:00:00"/>
    <x v="0"/>
    <n v="5"/>
    <x v="1"/>
    <s v="No"/>
    <m/>
    <s v=""/>
    <s v="No"/>
    <n v="0"/>
    <n v="0"/>
    <n v="5"/>
  </r>
  <r>
    <n v="3239"/>
    <s v="Sofia Almeida"/>
    <x v="0"/>
    <d v="2024-03-05T00:00:00"/>
    <x v="1"/>
    <n v="15"/>
    <x v="0"/>
    <s v="Yes"/>
    <n v="30"/>
    <n v="30"/>
    <s v="Yes"/>
    <n v="20"/>
    <n v="5"/>
    <n v="60"/>
  </r>
  <r>
    <n v="3240"/>
    <s v="Bruno Martins"/>
    <x v="2"/>
    <d v="2024-03-06T00:00:00"/>
    <x v="0"/>
    <n v="10"/>
    <x v="2"/>
    <s v="No"/>
    <m/>
    <s v=""/>
    <s v="Yes"/>
    <n v="20"/>
    <n v="15"/>
    <n v="15"/>
  </r>
  <r>
    <n v="3241"/>
    <s v="Rita Castro"/>
    <x v="1"/>
    <d v="2024-03-07T00:00:00"/>
    <x v="1"/>
    <n v="5"/>
    <x v="0"/>
    <s v="No"/>
    <m/>
    <s v=""/>
    <s v="No"/>
    <n v="0"/>
    <n v="1"/>
    <n v="4"/>
  </r>
  <r>
    <n v="3242"/>
    <s v="Marco Túlio"/>
    <x v="0"/>
    <d v="2024-03-08T00:00:00"/>
    <x v="0"/>
    <n v="15"/>
    <x v="1"/>
    <s v="Yes"/>
    <n v="30"/>
    <n v="30"/>
    <s v="Yes"/>
    <n v="20"/>
    <n v="20"/>
    <n v="45"/>
  </r>
  <r>
    <n v="3243"/>
    <s v="Lívia Silveira"/>
    <x v="2"/>
    <d v="2024-03-09T00:00:00"/>
    <x v="1"/>
    <n v="10"/>
    <x v="0"/>
    <s v="No"/>
    <m/>
    <s v=""/>
    <s v="Yes"/>
    <n v="20"/>
    <n v="10"/>
    <n v="20"/>
  </r>
  <r>
    <n v="3244"/>
    <s v="Diogo Sousa"/>
    <x v="1"/>
    <d v="2024-03-10T00:00:00"/>
    <x v="0"/>
    <n v="5"/>
    <x v="2"/>
    <s v="No"/>
    <m/>
    <s v=""/>
    <s v="No"/>
    <n v="0"/>
    <n v="0"/>
    <n v="5"/>
  </r>
  <r>
    <n v="3245"/>
    <s v="Fernanda Lima"/>
    <x v="0"/>
    <d v="2024-03-11T00:00:00"/>
    <x v="1"/>
    <n v="15"/>
    <x v="0"/>
    <s v="Yes"/>
    <n v="30"/>
    <n v="30"/>
    <s v="Yes"/>
    <n v="20"/>
    <n v="8"/>
    <n v="57"/>
  </r>
  <r>
    <n v="3246"/>
    <s v="Caio Pereira"/>
    <x v="2"/>
    <d v="2024-03-12T00:00:00"/>
    <x v="0"/>
    <n v="10"/>
    <x v="1"/>
    <s v="No"/>
    <m/>
    <s v=""/>
    <s v="Yes"/>
    <n v="20"/>
    <n v="12"/>
    <n v="18"/>
  </r>
  <r>
    <n v="3247"/>
    <s v="Beatriz Gomes"/>
    <x v="1"/>
    <d v="2024-03-13T00:00:00"/>
    <x v="1"/>
    <n v="5"/>
    <x v="0"/>
    <s v="No"/>
    <m/>
    <s v=""/>
    <s v="No"/>
    <n v="0"/>
    <n v="2"/>
    <n v="3"/>
  </r>
  <r>
    <n v="3248"/>
    <s v="Cesar Oliveira"/>
    <x v="0"/>
    <d v="2024-03-14T00:00:00"/>
    <x v="0"/>
    <n v="15"/>
    <x v="2"/>
    <s v="Yes"/>
    <n v="30"/>
    <n v="30"/>
    <s v="Yes"/>
    <n v="20"/>
    <n v="7"/>
    <n v="58"/>
  </r>
  <r>
    <n v="3249"/>
    <s v="Débora Machado"/>
    <x v="2"/>
    <d v="2024-03-15T00:00:00"/>
    <x v="1"/>
    <n v="10"/>
    <x v="0"/>
    <s v="No"/>
    <m/>
    <s v=""/>
    <s v="Yes"/>
    <n v="20"/>
    <n v="5"/>
    <n v="25"/>
  </r>
  <r>
    <n v="3250"/>
    <s v="Eduardo Vargas"/>
    <x v="1"/>
    <d v="2024-03-16T00:00:00"/>
    <x v="0"/>
    <n v="5"/>
    <x v="1"/>
    <s v="No"/>
    <m/>
    <s v=""/>
    <s v="No"/>
    <n v="0"/>
    <n v="0"/>
    <n v="5"/>
  </r>
  <r>
    <n v="3251"/>
    <s v="Gabriela Santos"/>
    <x v="0"/>
    <d v="2024-03-17T00:00:00"/>
    <x v="1"/>
    <n v="15"/>
    <x v="0"/>
    <s v="Yes"/>
    <n v="30"/>
    <n v="30"/>
    <s v="Yes"/>
    <n v="20"/>
    <n v="3"/>
    <n v="62"/>
  </r>
  <r>
    <n v="3252"/>
    <s v="Henrique Dias"/>
    <x v="2"/>
    <d v="2024-03-18T00:00:00"/>
    <x v="0"/>
    <n v="10"/>
    <x v="2"/>
    <s v="No"/>
    <m/>
    <s v=""/>
    <s v="Yes"/>
    <n v="20"/>
    <n v="15"/>
    <n v="15"/>
  </r>
  <r>
    <n v="3253"/>
    <s v="Isabela Moreira"/>
    <x v="1"/>
    <d v="2024-03-19T00:00:00"/>
    <x v="1"/>
    <n v="5"/>
    <x v="0"/>
    <s v="No"/>
    <m/>
    <s v=""/>
    <s v="No"/>
    <n v="0"/>
    <n v="1"/>
    <n v="4"/>
  </r>
  <r>
    <n v="3254"/>
    <s v="Joaquim Barbosa"/>
    <x v="0"/>
    <d v="2024-03-20T00:00:00"/>
    <x v="0"/>
    <n v="15"/>
    <x v="1"/>
    <s v="Yes"/>
    <n v="30"/>
    <n v="30"/>
    <s v="Yes"/>
    <n v="20"/>
    <n v="20"/>
    <n v="45"/>
  </r>
  <r>
    <n v="3255"/>
    <s v="Lara Rocha"/>
    <x v="2"/>
    <d v="2024-03-21T00:00:00"/>
    <x v="1"/>
    <n v="10"/>
    <x v="0"/>
    <s v="No"/>
    <m/>
    <s v=""/>
    <s v="Yes"/>
    <n v="20"/>
    <n v="10"/>
    <n v="20"/>
  </r>
  <r>
    <n v="3256"/>
    <s v="Matheus Silva"/>
    <x v="1"/>
    <d v="2024-03-22T00:00:00"/>
    <x v="0"/>
    <n v="5"/>
    <x v="2"/>
    <s v="No"/>
    <m/>
    <s v=""/>
    <s v="No"/>
    <n v="0"/>
    <n v="0"/>
    <n v="5"/>
  </r>
  <r>
    <n v="3257"/>
    <s v="Nicole Costa"/>
    <x v="0"/>
    <d v="2024-03-23T00:00:00"/>
    <x v="1"/>
    <n v="15"/>
    <x v="0"/>
    <s v="Yes"/>
    <n v="30"/>
    <n v="30"/>
    <s v="Yes"/>
    <n v="20"/>
    <n v="5"/>
    <n v="60"/>
  </r>
  <r>
    <n v="3258"/>
    <s v="Otávio Mendonça"/>
    <x v="2"/>
    <d v="2024-03-24T00:00:00"/>
    <x v="0"/>
    <n v="10"/>
    <x v="1"/>
    <s v="No"/>
    <m/>
    <s v=""/>
    <s v="Yes"/>
    <n v="20"/>
    <n v="15"/>
    <n v="15"/>
  </r>
  <r>
    <n v="3259"/>
    <s v="Paula Ferreira"/>
    <x v="1"/>
    <d v="2024-03-25T00:00:00"/>
    <x v="1"/>
    <n v="5"/>
    <x v="0"/>
    <s v="No"/>
    <m/>
    <s v=""/>
    <s v="No"/>
    <n v="0"/>
    <n v="1"/>
    <n v="4"/>
  </r>
  <r>
    <n v="3260"/>
    <s v="Raquel Alves"/>
    <x v="0"/>
    <d v="2024-03-26T00:00:00"/>
    <x v="0"/>
    <n v="15"/>
    <x v="2"/>
    <s v="Yes"/>
    <n v="30"/>
    <n v="30"/>
    <s v="Yes"/>
    <n v="20"/>
    <n v="7"/>
    <n v="58"/>
  </r>
  <r>
    <n v="3261"/>
    <s v="Samuel Pires"/>
    <x v="2"/>
    <d v="2024-03-27T00:00:00"/>
    <x v="1"/>
    <n v="10"/>
    <x v="0"/>
    <s v="No"/>
    <m/>
    <s v=""/>
    <s v="Yes"/>
    <n v="20"/>
    <n v="10"/>
    <n v="20"/>
  </r>
  <r>
    <n v="3262"/>
    <s v="Tânia Barros"/>
    <x v="1"/>
    <d v="2024-03-28T00:00:00"/>
    <x v="0"/>
    <n v="5"/>
    <x v="1"/>
    <s v="No"/>
    <m/>
    <s v=""/>
    <s v="No"/>
    <n v="0"/>
    <n v="0"/>
    <n v="5"/>
  </r>
  <r>
    <n v="3263"/>
    <s v="Vinicius Lima"/>
    <x v="0"/>
    <d v="2024-03-29T00:00:00"/>
    <x v="1"/>
    <n v="15"/>
    <x v="0"/>
    <s v="Yes"/>
    <n v="30"/>
    <n v="30"/>
    <s v="Yes"/>
    <n v="20"/>
    <n v="3"/>
    <n v="62"/>
  </r>
  <r>
    <n v="3264"/>
    <s v="Yasmin Teixeira"/>
    <x v="2"/>
    <d v="2024-03-30T00:00:00"/>
    <x v="0"/>
    <n v="10"/>
    <x v="2"/>
    <s v="No"/>
    <m/>
    <s v=""/>
    <s v="Yes"/>
    <n v="20"/>
    <n v="15"/>
    <n v="15"/>
  </r>
  <r>
    <n v="3265"/>
    <s v="Zé Carlos"/>
    <x v="1"/>
    <d v="2024-03-31T00:00:00"/>
    <x v="1"/>
    <n v="5"/>
    <x v="0"/>
    <s v="No"/>
    <m/>
    <s v=""/>
    <s v="No"/>
    <n v="0"/>
    <n v="1"/>
    <n v="4"/>
  </r>
  <r>
    <n v="3266"/>
    <s v="Amanda Nogueira"/>
    <x v="1"/>
    <d v="2024-04-01T00:00:00"/>
    <x v="0"/>
    <n v="5"/>
    <x v="0"/>
    <s v="No"/>
    <m/>
    <s v=""/>
    <s v="No"/>
    <n v="0"/>
    <n v="0"/>
    <n v="5"/>
  </r>
  <r>
    <n v="3267"/>
    <s v="Bruno Cavalheiro"/>
    <x v="0"/>
    <d v="2024-04-02T00:00:00"/>
    <x v="1"/>
    <n v="15"/>
    <x v="2"/>
    <s v="Yes"/>
    <n v="30"/>
    <n v="30"/>
    <s v="Yes"/>
    <n v="20"/>
    <n v="7"/>
    <n v="58"/>
  </r>
  <r>
    <n v="3268"/>
    <s v="Carla Dias"/>
    <x v="2"/>
    <d v="2024-04-03T00:00:00"/>
    <x v="0"/>
    <n v="10"/>
    <x v="1"/>
    <s v="No"/>
    <m/>
    <s v=""/>
    <s v="Yes"/>
    <n v="20"/>
    <n v="10"/>
    <n v="20"/>
  </r>
  <r>
    <n v="3269"/>
    <s v="Diego Fontes"/>
    <x v="1"/>
    <d v="2024-04-04T00:00:00"/>
    <x v="1"/>
    <n v="5"/>
    <x v="2"/>
    <s v="No"/>
    <m/>
    <s v=""/>
    <s v="No"/>
    <n v="0"/>
    <n v="1"/>
    <n v="4"/>
  </r>
  <r>
    <n v="3270"/>
    <s v="Eunice Lima"/>
    <x v="0"/>
    <d v="2024-04-05T00:00:00"/>
    <x v="0"/>
    <n v="15"/>
    <x v="0"/>
    <s v="Yes"/>
    <n v="30"/>
    <n v="30"/>
    <s v="Yes"/>
    <n v="20"/>
    <n v="15"/>
    <n v="50"/>
  </r>
  <r>
    <n v="3271"/>
    <s v="Fábio Martins"/>
    <x v="2"/>
    <d v="2024-04-06T00:00:00"/>
    <x v="1"/>
    <n v="10"/>
    <x v="0"/>
    <s v="No"/>
    <m/>
    <s v=""/>
    <s v="Yes"/>
    <n v="20"/>
    <n v="5"/>
    <n v="25"/>
  </r>
  <r>
    <n v="3272"/>
    <s v="Gisele Araújo"/>
    <x v="1"/>
    <d v="2024-04-07T00:00:00"/>
    <x v="0"/>
    <n v="5"/>
    <x v="1"/>
    <s v="No"/>
    <m/>
    <s v=""/>
    <s v="No"/>
    <n v="0"/>
    <n v="0"/>
    <n v="5"/>
  </r>
  <r>
    <n v="3273"/>
    <s v="Hélio Castro"/>
    <x v="0"/>
    <d v="2024-04-08T00:00:00"/>
    <x v="1"/>
    <n v="15"/>
    <x v="2"/>
    <s v="Yes"/>
    <n v="30"/>
    <n v="30"/>
    <s v="Yes"/>
    <n v="20"/>
    <n v="20"/>
    <n v="45"/>
  </r>
  <r>
    <n v="3274"/>
    <s v="Ingrid Menezes"/>
    <x v="2"/>
    <d v="2024-04-09T00:00:00"/>
    <x v="0"/>
    <n v="10"/>
    <x v="2"/>
    <s v="No"/>
    <m/>
    <s v=""/>
    <s v="Yes"/>
    <n v="20"/>
    <n v="12"/>
    <n v="18"/>
  </r>
  <r>
    <n v="3275"/>
    <s v="Jorge Baptista"/>
    <x v="1"/>
    <d v="2024-04-10T00:00:00"/>
    <x v="1"/>
    <n v="5"/>
    <x v="0"/>
    <s v="No"/>
    <m/>
    <s v=""/>
    <s v="No"/>
    <n v="0"/>
    <n v="2"/>
    <n v="3"/>
  </r>
  <r>
    <n v="3276"/>
    <s v="Kléber Oliveira"/>
    <x v="0"/>
    <d v="2024-04-11T00:00:00"/>
    <x v="0"/>
    <n v="15"/>
    <x v="1"/>
    <s v="Yes"/>
    <n v="30"/>
    <n v="30"/>
    <s v="Yes"/>
    <n v="20"/>
    <n v="5"/>
    <n v="60"/>
  </r>
  <r>
    <n v="3277"/>
    <s v="Luciana Freitas"/>
    <x v="2"/>
    <d v="2024-04-12T00:00:00"/>
    <x v="1"/>
    <n v="10"/>
    <x v="0"/>
    <s v="No"/>
    <m/>
    <s v=""/>
    <s v="Yes"/>
    <n v="20"/>
    <n v="10"/>
    <n v="20"/>
  </r>
  <r>
    <n v="3278"/>
    <s v="Márcia Eller"/>
    <x v="1"/>
    <d v="2024-04-13T00:00:00"/>
    <x v="0"/>
    <n v="5"/>
    <x v="2"/>
    <s v="No"/>
    <m/>
    <s v=""/>
    <s v="No"/>
    <n v="0"/>
    <n v="0"/>
    <n v="5"/>
  </r>
  <r>
    <n v="3279"/>
    <s v="Nilo Peçanha"/>
    <x v="0"/>
    <d v="2024-04-14T00:00:00"/>
    <x v="1"/>
    <n v="15"/>
    <x v="0"/>
    <s v="Yes"/>
    <n v="30"/>
    <n v="30"/>
    <s v="Yes"/>
    <n v="20"/>
    <n v="3"/>
    <n v="62"/>
  </r>
  <r>
    <n v="3280"/>
    <s v="Oscar Neves"/>
    <x v="2"/>
    <d v="2024-04-15T00:00:00"/>
    <x v="0"/>
    <n v="10"/>
    <x v="1"/>
    <s v="No"/>
    <m/>
    <s v=""/>
    <s v="Yes"/>
    <n v="20"/>
    <n v="15"/>
    <n v="15"/>
  </r>
  <r>
    <n v="3281"/>
    <s v="Patrícia Soares"/>
    <x v="1"/>
    <d v="2024-04-16T00:00:00"/>
    <x v="1"/>
    <n v="5"/>
    <x v="0"/>
    <s v="No"/>
    <m/>
    <s v=""/>
    <s v="No"/>
    <n v="0"/>
    <n v="1"/>
    <n v="4"/>
  </r>
  <r>
    <n v="3282"/>
    <s v="Quirino Gonçalves"/>
    <x v="0"/>
    <d v="2024-04-17T00:00:00"/>
    <x v="0"/>
    <n v="15"/>
    <x v="2"/>
    <s v="Yes"/>
    <n v="30"/>
    <n v="30"/>
    <s v="Yes"/>
    <n v="20"/>
    <n v="7"/>
    <n v="58"/>
  </r>
  <r>
    <n v="3283"/>
    <s v="Raul Machado"/>
    <x v="2"/>
    <d v="2024-04-18T00:00:00"/>
    <x v="1"/>
    <n v="10"/>
    <x v="0"/>
    <s v="No"/>
    <m/>
    <s v=""/>
    <s v="Yes"/>
    <n v="20"/>
    <n v="10"/>
    <n v="20"/>
  </r>
  <r>
    <n v="3284"/>
    <s v="Sônia Lobo"/>
    <x v="1"/>
    <d v="2024-04-19T00:00:00"/>
    <x v="0"/>
    <n v="5"/>
    <x v="1"/>
    <s v="No"/>
    <m/>
    <s v=""/>
    <s v="No"/>
    <n v="0"/>
    <n v="0"/>
    <n v="5"/>
  </r>
  <r>
    <n v="3285"/>
    <s v="Tiago Ramos"/>
    <x v="0"/>
    <d v="2024-04-20T00:00:00"/>
    <x v="1"/>
    <n v="15"/>
    <x v="0"/>
    <s v="Yes"/>
    <n v="30"/>
    <n v="30"/>
    <s v="Yes"/>
    <n v="20"/>
    <n v="20"/>
    <n v="45"/>
  </r>
  <r>
    <n v="3286"/>
    <s v="Ugo Pires"/>
    <x v="2"/>
    <d v="2024-04-21T00:00:00"/>
    <x v="0"/>
    <n v="10"/>
    <x v="2"/>
    <s v="No"/>
    <m/>
    <s v=""/>
    <s v="Yes"/>
    <n v="20"/>
    <n v="15"/>
    <n v="15"/>
  </r>
  <r>
    <n v="3287"/>
    <s v="Valéria Nobre"/>
    <x v="1"/>
    <d v="2024-04-22T00:00:00"/>
    <x v="1"/>
    <n v="5"/>
    <x v="0"/>
    <s v="No"/>
    <m/>
    <s v=""/>
    <s v="No"/>
    <n v="0"/>
    <n v="1"/>
    <n v="4"/>
  </r>
  <r>
    <n v="3288"/>
    <s v="William Siqueira"/>
    <x v="0"/>
    <d v="2024-04-23T00:00:00"/>
    <x v="0"/>
    <n v="15"/>
    <x v="1"/>
    <s v="Yes"/>
    <n v="30"/>
    <n v="30"/>
    <s v="Yes"/>
    <n v="20"/>
    <n v="3"/>
    <n v="62"/>
  </r>
  <r>
    <n v="3289"/>
    <s v="Xuxa Meneghel"/>
    <x v="2"/>
    <d v="2024-04-24T00:00:00"/>
    <x v="1"/>
    <n v="10"/>
    <x v="0"/>
    <s v="No"/>
    <m/>
    <s v=""/>
    <s v="Yes"/>
    <n v="20"/>
    <n v="10"/>
    <n v="20"/>
  </r>
  <r>
    <n v="3290"/>
    <s v="Yara Figueiredo"/>
    <x v="1"/>
    <d v="2024-04-25T00:00:00"/>
    <x v="0"/>
    <n v="5"/>
    <x v="2"/>
    <s v="No"/>
    <m/>
    <s v=""/>
    <s v="No"/>
    <n v="0"/>
    <n v="0"/>
    <n v="5"/>
  </r>
  <r>
    <n v="3291"/>
    <s v="Zacarias Alves"/>
    <x v="0"/>
    <d v="2024-04-26T00:00:00"/>
    <x v="1"/>
    <n v="15"/>
    <x v="0"/>
    <s v="Yes"/>
    <n v="30"/>
    <n v="30"/>
    <s v="Yes"/>
    <n v="20"/>
    <n v="5"/>
    <n v="60"/>
  </r>
  <r>
    <n v="3292"/>
    <s v="Amanda Bynes"/>
    <x v="2"/>
    <d v="2024-04-27T00:00:00"/>
    <x v="0"/>
    <n v="10"/>
    <x v="1"/>
    <s v="No"/>
    <m/>
    <s v=""/>
    <s v="Yes"/>
    <n v="20"/>
    <n v="15"/>
    <n v="15"/>
  </r>
  <r>
    <n v="3293"/>
    <s v="Bruno Mars"/>
    <x v="1"/>
    <d v="2024-04-28T00:00:00"/>
    <x v="1"/>
    <n v="5"/>
    <x v="0"/>
    <s v="No"/>
    <m/>
    <s v=""/>
    <s v="No"/>
    <n v="0"/>
    <n v="1"/>
    <n v="4"/>
  </r>
  <r>
    <n v="3294"/>
    <s v="Carla Bruni"/>
    <x v="0"/>
    <d v="2024-04-29T00:00:00"/>
    <x v="0"/>
    <n v="15"/>
    <x v="2"/>
    <s v="Yes"/>
    <n v="30"/>
    <n v="30"/>
    <s v="Yes"/>
    <n v="20"/>
    <n v="20"/>
    <n v="45"/>
  </r>
  <r>
    <n v="3295"/>
    <s v="Diego Maradona"/>
    <x v="2"/>
    <d v="2024-04-30T00:00:00"/>
    <x v="1"/>
    <n v="10"/>
    <x v="0"/>
    <s v="No"/>
    <m/>
    <s v=""/>
    <s v="Yes"/>
    <n v="20"/>
    <n v="5"/>
    <n v="25"/>
  </r>
  <r>
    <n v="3296"/>
    <s v="Estela Marques"/>
    <x v="1"/>
    <d v="2024-05-01T00:00:00"/>
    <x v="1"/>
    <n v="5"/>
    <x v="0"/>
    <s v="No"/>
    <m/>
    <s v=""/>
    <s v="No"/>
    <n v="0"/>
    <n v="0"/>
    <n v="5"/>
  </r>
  <r>
    <n v="3297"/>
    <s v="Fábio Nobre"/>
    <x v="0"/>
    <d v="2024-05-02T00:00:00"/>
    <x v="0"/>
    <n v="15"/>
    <x v="2"/>
    <s v="Yes"/>
    <n v="30"/>
    <n v="30"/>
    <s v="Yes"/>
    <n v="20"/>
    <n v="7"/>
    <n v="58"/>
  </r>
  <r>
    <n v="3298"/>
    <s v="Gabriel Oliveira"/>
    <x v="2"/>
    <d v="2024-05-03T00:00:00"/>
    <x v="1"/>
    <n v="10"/>
    <x v="1"/>
    <s v="No"/>
    <m/>
    <s v=""/>
    <s v="Yes"/>
    <n v="20"/>
    <n v="10"/>
    <n v="20"/>
  </r>
  <r>
    <n v="3299"/>
    <s v="Helena Santos"/>
    <x v="1"/>
    <d v="2024-05-04T00:00:00"/>
    <x v="0"/>
    <n v="5"/>
    <x v="2"/>
    <s v="No"/>
    <m/>
    <s v=""/>
    <s v="No"/>
    <n v="0"/>
    <n v="1"/>
    <n v="4"/>
  </r>
  <r>
    <n v="3300"/>
    <s v="Ivan Carvalho"/>
    <x v="0"/>
    <d v="2024-05-05T00:00:00"/>
    <x v="1"/>
    <n v="15"/>
    <x v="0"/>
    <s v="Yes"/>
    <n v="30"/>
    <n v="30"/>
    <s v="Yes"/>
    <n v="20"/>
    <n v="15"/>
    <n v="50"/>
  </r>
  <r>
    <n v="3301"/>
    <s v="Júlia Ferreira"/>
    <x v="2"/>
    <d v="2024-05-06T00:00:00"/>
    <x v="0"/>
    <n v="10"/>
    <x v="0"/>
    <s v="No"/>
    <m/>
    <s v=""/>
    <s v="Yes"/>
    <n v="20"/>
    <n v="5"/>
    <n v="25"/>
  </r>
  <r>
    <n v="3302"/>
    <s v="Karla Alves"/>
    <x v="1"/>
    <d v="2024-05-07T00:00:00"/>
    <x v="1"/>
    <n v="5"/>
    <x v="1"/>
    <s v="No"/>
    <m/>
    <s v=""/>
    <s v="No"/>
    <n v="0"/>
    <n v="0"/>
    <n v="5"/>
  </r>
  <r>
    <n v="3303"/>
    <s v="Lucas Mendes"/>
    <x v="0"/>
    <d v="2024-05-08T00:00:00"/>
    <x v="0"/>
    <n v="15"/>
    <x v="2"/>
    <s v="Yes"/>
    <n v="30"/>
    <n v="30"/>
    <s v="Yes"/>
    <n v="20"/>
    <n v="20"/>
    <n v="45"/>
  </r>
  <r>
    <n v="3304"/>
    <s v="Mônica Gomes"/>
    <x v="2"/>
    <d v="2024-05-09T00:00:00"/>
    <x v="1"/>
    <n v="10"/>
    <x v="2"/>
    <s v="No"/>
    <m/>
    <s v=""/>
    <s v="Yes"/>
    <n v="20"/>
    <n v="12"/>
    <n v="18"/>
  </r>
  <r>
    <n v="3305"/>
    <s v="Norberto Queiroz"/>
    <x v="1"/>
    <d v="2024-05-10T00:00:00"/>
    <x v="0"/>
    <n v="5"/>
    <x v="0"/>
    <s v="No"/>
    <m/>
    <s v=""/>
    <s v="No"/>
    <n v="0"/>
    <n v="2"/>
    <n v="3"/>
  </r>
  <r>
    <n v="3306"/>
    <s v="Otávio Barros"/>
    <x v="0"/>
    <d v="2024-05-11T00:00:00"/>
    <x v="1"/>
    <n v="15"/>
    <x v="1"/>
    <s v="Yes"/>
    <n v="30"/>
    <n v="30"/>
    <s v="Yes"/>
    <n v="20"/>
    <n v="5"/>
    <n v="60"/>
  </r>
  <r>
    <n v="3307"/>
    <s v="Paula Vieira"/>
    <x v="2"/>
    <d v="2024-05-12T00:00:00"/>
    <x v="0"/>
    <n v="10"/>
    <x v="0"/>
    <s v="No"/>
    <m/>
    <s v=""/>
    <s v="Yes"/>
    <n v="20"/>
    <n v="10"/>
    <n v="20"/>
  </r>
  <r>
    <n v="3308"/>
    <s v="Quentin Ramos"/>
    <x v="1"/>
    <d v="2024-05-13T00:00:00"/>
    <x v="1"/>
    <n v="5"/>
    <x v="2"/>
    <s v="No"/>
    <m/>
    <s v=""/>
    <s v="No"/>
    <n v="0"/>
    <n v="0"/>
    <n v="5"/>
  </r>
  <r>
    <n v="3309"/>
    <s v="Raquel Novaes"/>
    <x v="0"/>
    <d v="2024-05-14T00:00:00"/>
    <x v="0"/>
    <n v="15"/>
    <x v="0"/>
    <s v="Yes"/>
    <n v="30"/>
    <n v="30"/>
    <s v="Yes"/>
    <n v="20"/>
    <n v="3"/>
    <n v="62"/>
  </r>
  <r>
    <n v="3310"/>
    <s v="Samantha Lopes"/>
    <x v="2"/>
    <d v="2024-05-15T00:00:00"/>
    <x v="1"/>
    <n v="10"/>
    <x v="1"/>
    <s v="No"/>
    <m/>
    <s v=""/>
    <s v="Yes"/>
    <n v="20"/>
    <n v="15"/>
    <n v="15"/>
  </r>
  <r>
    <n v="3311"/>
    <s v="Tiago Martins"/>
    <x v="1"/>
    <d v="2024-05-16T00:00:00"/>
    <x v="0"/>
    <n v="5"/>
    <x v="0"/>
    <s v="No"/>
    <m/>
    <s v=""/>
    <s v="No"/>
    <n v="0"/>
    <n v="1"/>
    <n v="4"/>
  </r>
  <r>
    <n v="3312"/>
    <s v="Ulysses Guimarães"/>
    <x v="0"/>
    <d v="2024-05-17T00:00:00"/>
    <x v="1"/>
    <n v="15"/>
    <x v="2"/>
    <s v="Yes"/>
    <n v="30"/>
    <n v="30"/>
    <s v="Yes"/>
    <n v="20"/>
    <n v="7"/>
    <n v="58"/>
  </r>
  <r>
    <n v="3313"/>
    <s v="Vanessa Silva"/>
    <x v="2"/>
    <d v="2024-05-18T00:00:00"/>
    <x v="0"/>
    <n v="10"/>
    <x v="0"/>
    <s v="No"/>
    <m/>
    <s v=""/>
    <s v="Yes"/>
    <n v="20"/>
    <n v="10"/>
    <n v="20"/>
  </r>
  <r>
    <n v="3314"/>
    <s v="William Carneiro"/>
    <x v="1"/>
    <d v="2024-05-19T00:00:00"/>
    <x v="1"/>
    <n v="5"/>
    <x v="1"/>
    <s v="No"/>
    <m/>
    <s v=""/>
    <s v="No"/>
    <n v="0"/>
    <n v="0"/>
    <n v="5"/>
  </r>
  <r>
    <n v="3315"/>
    <s v="Ximena Rocha"/>
    <x v="0"/>
    <d v="2024-05-20T00:00:00"/>
    <x v="0"/>
    <n v="15"/>
    <x v="0"/>
    <s v="Yes"/>
    <n v="30"/>
    <n v="30"/>
    <s v="Yes"/>
    <n v="20"/>
    <n v="20"/>
    <n v="45"/>
  </r>
  <r>
    <n v="3316"/>
    <s v="Yasmin Figueiredo"/>
    <x v="2"/>
    <d v="2024-05-21T00:00:00"/>
    <x v="1"/>
    <n v="10"/>
    <x v="2"/>
    <s v="No"/>
    <m/>
    <s v=""/>
    <s v="Yes"/>
    <n v="20"/>
    <n v="15"/>
    <n v="15"/>
  </r>
  <r>
    <n v="3317"/>
    <s v="Zara Cunha"/>
    <x v="1"/>
    <d v="2024-05-22T00:00:00"/>
    <x v="0"/>
    <n v="5"/>
    <x v="0"/>
    <s v="No"/>
    <m/>
    <s v=""/>
    <s v="No"/>
    <n v="0"/>
    <n v="1"/>
    <n v="4"/>
  </r>
  <r>
    <n v="3318"/>
    <s v="Alan Teixeira"/>
    <x v="0"/>
    <d v="2024-05-23T00:00:00"/>
    <x v="1"/>
    <n v="15"/>
    <x v="1"/>
    <s v="Yes"/>
    <n v="30"/>
    <n v="30"/>
    <s v="Yes"/>
    <n v="20"/>
    <n v="3"/>
    <n v="62"/>
  </r>
  <r>
    <n v="3319"/>
    <s v="Bárbara Oliveira"/>
    <x v="2"/>
    <d v="2024-05-24T00:00:00"/>
    <x v="0"/>
    <n v="10"/>
    <x v="0"/>
    <s v="No"/>
    <m/>
    <s v=""/>
    <s v="Yes"/>
    <n v="20"/>
    <n v="10"/>
    <n v="20"/>
  </r>
  <r>
    <n v="3320"/>
    <s v="Carlos Junqueira"/>
    <x v="1"/>
    <d v="2024-05-25T00:00:00"/>
    <x v="1"/>
    <n v="5"/>
    <x v="2"/>
    <s v="No"/>
    <m/>
    <s v=""/>
    <s v="No"/>
    <n v="0"/>
    <n v="0"/>
    <n v="5"/>
  </r>
  <r>
    <n v="3321"/>
    <s v="Daniela Moura"/>
    <x v="0"/>
    <d v="2024-05-26T00:00:00"/>
    <x v="0"/>
    <n v="15"/>
    <x v="0"/>
    <s v="Yes"/>
    <n v="30"/>
    <n v="30"/>
    <s v="Yes"/>
    <n v="20"/>
    <n v="5"/>
    <n v="60"/>
  </r>
  <r>
    <n v="3322"/>
    <s v="Eduardo Lima"/>
    <x v="2"/>
    <d v="2024-05-27T00:00:00"/>
    <x v="1"/>
    <n v="10"/>
    <x v="1"/>
    <s v="No"/>
    <m/>
    <s v=""/>
    <s v="Yes"/>
    <n v="20"/>
    <n v="15"/>
    <n v="15"/>
  </r>
  <r>
    <n v="3323"/>
    <s v="Fabiana Araújo"/>
    <x v="1"/>
    <d v="2024-05-28T00:00:00"/>
    <x v="0"/>
    <n v="5"/>
    <x v="0"/>
    <s v="No"/>
    <m/>
    <s v=""/>
    <s v="No"/>
    <n v="0"/>
    <n v="1"/>
    <n v="4"/>
  </r>
  <r>
    <n v="3324"/>
    <s v="Geraldo Ribeiro"/>
    <x v="0"/>
    <d v="2024-05-29T00:00:00"/>
    <x v="1"/>
    <n v="15"/>
    <x v="2"/>
    <s v="Yes"/>
    <n v="30"/>
    <n v="30"/>
    <s v="Yes"/>
    <n v="20"/>
    <n v="20"/>
    <n v="45"/>
  </r>
  <r>
    <n v="3325"/>
    <s v="Héctor Vargas"/>
    <x v="2"/>
    <d v="2024-05-30T00:00:00"/>
    <x v="0"/>
    <n v="10"/>
    <x v="2"/>
    <s v="No"/>
    <m/>
    <s v=""/>
    <s v="Yes"/>
    <n v="20"/>
    <n v="15"/>
    <n v="15"/>
  </r>
  <r>
    <n v="3326"/>
    <s v="Isabela Fonseca"/>
    <x v="1"/>
    <d v="2024-05-31T00:00:00"/>
    <x v="1"/>
    <n v="5"/>
    <x v="1"/>
    <s v="No"/>
    <m/>
    <s v=""/>
    <s v="No"/>
    <n v="0"/>
    <n v="0"/>
    <n v="5"/>
  </r>
  <r>
    <n v="3327"/>
    <s v="João Pedro Almeida"/>
    <x v="0"/>
    <d v="2024-06-01T00:00:00"/>
    <x v="0"/>
    <n v="15"/>
    <x v="0"/>
    <s v="Yes"/>
    <n v="30"/>
    <n v="30"/>
    <s v="Yes"/>
    <n v="20"/>
    <n v="7"/>
    <n v="58"/>
  </r>
  <r>
    <n v="3328"/>
    <s v="Klara Costa"/>
    <x v="2"/>
    <d v="2024-06-02T00:00:00"/>
    <x v="1"/>
    <n v="10"/>
    <x v="1"/>
    <s v="No"/>
    <m/>
    <s v=""/>
    <s v="Yes"/>
    <n v="20"/>
    <n v="10"/>
    <n v="20"/>
  </r>
  <r>
    <n v="3329"/>
    <s v="Luciana Mendes"/>
    <x v="1"/>
    <d v="2024-06-03T00:00:00"/>
    <x v="0"/>
    <n v="5"/>
    <x v="2"/>
    <s v="No"/>
    <m/>
    <s v=""/>
    <s v="No"/>
    <n v="0"/>
    <n v="1"/>
    <n v="4"/>
  </r>
  <r>
    <n v="3330"/>
    <s v="Marcelo Gouveia"/>
    <x v="0"/>
    <d v="2024-06-04T00:00:00"/>
    <x v="1"/>
    <n v="15"/>
    <x v="0"/>
    <s v="Yes"/>
    <n v="30"/>
    <n v="30"/>
    <s v="Yes"/>
    <n v="20"/>
    <n v="15"/>
    <n v="50"/>
  </r>
  <r>
    <n v="3331"/>
    <s v="Nívea Borges"/>
    <x v="2"/>
    <d v="2024-06-05T00:00:00"/>
    <x v="0"/>
    <n v="10"/>
    <x v="0"/>
    <s v="No"/>
    <m/>
    <s v=""/>
    <s v="Yes"/>
    <n v="20"/>
    <n v="5"/>
    <n v="25"/>
  </r>
  <r>
    <n v="3332"/>
    <s v="Oscar Nogueira"/>
    <x v="1"/>
    <d v="2024-06-06T00:00:00"/>
    <x v="1"/>
    <n v="5"/>
    <x v="1"/>
    <s v="No"/>
    <m/>
    <s v=""/>
    <s v="No"/>
    <n v="0"/>
    <n v="0"/>
    <n v="5"/>
  </r>
  <r>
    <n v="3333"/>
    <s v="Patrícia Alves"/>
    <x v="0"/>
    <d v="2024-06-07T00:00:00"/>
    <x v="0"/>
    <n v="15"/>
    <x v="2"/>
    <s v="Yes"/>
    <n v="30"/>
    <n v="30"/>
    <s v="Yes"/>
    <n v="20"/>
    <n v="20"/>
    <n v="45"/>
  </r>
  <r>
    <n v="3334"/>
    <s v="Rafaela Silva"/>
    <x v="2"/>
    <d v="2024-06-08T00:00:00"/>
    <x v="1"/>
    <n v="10"/>
    <x v="2"/>
    <s v="No"/>
    <m/>
    <s v=""/>
    <s v="Yes"/>
    <n v="20"/>
    <n v="12"/>
    <n v="18"/>
  </r>
  <r>
    <n v="3335"/>
    <s v="Samantha Moraes"/>
    <x v="1"/>
    <d v="2024-06-09T00:00:00"/>
    <x v="0"/>
    <n v="5"/>
    <x v="0"/>
    <s v="No"/>
    <m/>
    <s v=""/>
    <s v="No"/>
    <n v="0"/>
    <n v="2"/>
    <n v="3"/>
  </r>
  <r>
    <n v="3336"/>
    <s v="Tatiana Rocha"/>
    <x v="1"/>
    <d v="2024-06-10T00:00:00"/>
    <x v="0"/>
    <n v="5"/>
    <x v="0"/>
    <s v="No"/>
    <m/>
    <s v=""/>
    <s v="No"/>
    <n v="0"/>
    <n v="0"/>
    <n v="5"/>
  </r>
  <r>
    <n v="3337"/>
    <s v="Ulisses Tavares"/>
    <x v="0"/>
    <d v="2024-06-11T00:00:00"/>
    <x v="1"/>
    <n v="15"/>
    <x v="2"/>
    <s v="Yes"/>
    <n v="30"/>
    <n v="30"/>
    <s v="Yes"/>
    <n v="20"/>
    <n v="7"/>
    <n v="58"/>
  </r>
  <r>
    <n v="3338"/>
    <s v="Víctor Lemos"/>
    <x v="2"/>
    <d v="2024-06-12T00:00:00"/>
    <x v="0"/>
    <n v="10"/>
    <x v="1"/>
    <s v="No"/>
    <m/>
    <s v=""/>
    <s v="Yes"/>
    <n v="20"/>
    <n v="10"/>
    <n v="20"/>
  </r>
  <r>
    <n v="3339"/>
    <s v="Wilma Barros"/>
    <x v="1"/>
    <d v="2024-06-13T00:00:00"/>
    <x v="1"/>
    <n v="5"/>
    <x v="2"/>
    <s v="No"/>
    <m/>
    <s v=""/>
    <s v="No"/>
    <n v="0"/>
    <n v="1"/>
    <n v="4"/>
  </r>
  <r>
    <n v="3340"/>
    <s v="Xavier Nascimento"/>
    <x v="0"/>
    <d v="2024-06-14T00:00:00"/>
    <x v="0"/>
    <n v="15"/>
    <x v="0"/>
    <s v="Yes"/>
    <n v="30"/>
    <n v="30"/>
    <s v="Yes"/>
    <n v="20"/>
    <n v="15"/>
    <n v="50"/>
  </r>
  <r>
    <n v="3341"/>
    <s v="Yago Pereira"/>
    <x v="2"/>
    <d v="2024-06-15T00:00:00"/>
    <x v="1"/>
    <n v="10"/>
    <x v="0"/>
    <s v="No"/>
    <m/>
    <s v=""/>
    <s v="Yes"/>
    <n v="20"/>
    <n v="5"/>
    <n v="25"/>
  </r>
  <r>
    <n v="3342"/>
    <s v="Zilda Ferreira"/>
    <x v="1"/>
    <d v="2024-06-16T00:00:00"/>
    <x v="0"/>
    <n v="5"/>
    <x v="1"/>
    <s v="No"/>
    <m/>
    <s v=""/>
    <s v="No"/>
    <n v="0"/>
    <n v="0"/>
    <n v="5"/>
  </r>
  <r>
    <n v="3343"/>
    <s v="Amanda Lopes"/>
    <x v="0"/>
    <d v="2024-06-17T00:00:00"/>
    <x v="1"/>
    <n v="15"/>
    <x v="2"/>
    <s v="Yes"/>
    <n v="30"/>
    <n v="30"/>
    <s v="Yes"/>
    <n v="20"/>
    <n v="20"/>
    <n v="45"/>
  </r>
  <r>
    <n v="3344"/>
    <s v="Bruno Miranda"/>
    <x v="2"/>
    <d v="2024-06-18T00:00:00"/>
    <x v="0"/>
    <n v="10"/>
    <x v="2"/>
    <s v="No"/>
    <m/>
    <s v=""/>
    <s v="Yes"/>
    <n v="20"/>
    <n v="12"/>
    <n v="18"/>
  </r>
  <r>
    <n v="3345"/>
    <s v="Célia Torres"/>
    <x v="1"/>
    <d v="2024-06-19T00:00:00"/>
    <x v="1"/>
    <n v="5"/>
    <x v="0"/>
    <s v="No"/>
    <m/>
    <s v=""/>
    <s v="No"/>
    <n v="0"/>
    <n v="2"/>
    <n v="3"/>
  </r>
  <r>
    <n v="3346"/>
    <s v="Diogo Souza"/>
    <x v="0"/>
    <d v="2024-06-20T00:00:00"/>
    <x v="0"/>
    <n v="15"/>
    <x v="1"/>
    <s v="Yes"/>
    <n v="30"/>
    <n v="30"/>
    <s v="Yes"/>
    <n v="20"/>
    <n v="5"/>
    <n v="60"/>
  </r>
  <r>
    <n v="3347"/>
    <s v="Elisa Castro"/>
    <x v="2"/>
    <d v="2024-06-21T00:00:00"/>
    <x v="1"/>
    <n v="10"/>
    <x v="0"/>
    <s v="No"/>
    <m/>
    <s v=""/>
    <s v="Yes"/>
    <n v="20"/>
    <n v="10"/>
    <n v="20"/>
  </r>
  <r>
    <n v="3348"/>
    <s v="Fátima Lima"/>
    <x v="1"/>
    <d v="2024-06-22T00:00:00"/>
    <x v="0"/>
    <n v="5"/>
    <x v="2"/>
    <s v="No"/>
    <m/>
    <s v=""/>
    <s v="No"/>
    <n v="0"/>
    <n v="0"/>
    <n v="5"/>
  </r>
  <r>
    <n v="3349"/>
    <s v="Geraldo Ribeiro"/>
    <x v="0"/>
    <d v="2024-06-23T00:00:00"/>
    <x v="1"/>
    <n v="15"/>
    <x v="0"/>
    <s v="Yes"/>
    <n v="30"/>
    <n v="30"/>
    <s v="Yes"/>
    <n v="20"/>
    <n v="3"/>
    <n v="62"/>
  </r>
  <r>
    <n v="3350"/>
    <s v="Hélio Martins"/>
    <x v="2"/>
    <d v="2024-06-24T00:00:00"/>
    <x v="0"/>
    <n v="10"/>
    <x v="1"/>
    <s v="No"/>
    <m/>
    <s v=""/>
    <s v="Yes"/>
    <n v="20"/>
    <n v="15"/>
    <n v="15"/>
  </r>
  <r>
    <n v="3351"/>
    <s v="Íris Santos"/>
    <x v="1"/>
    <d v="2024-06-25T00:00:00"/>
    <x v="1"/>
    <n v="5"/>
    <x v="0"/>
    <s v="No"/>
    <m/>
    <s v=""/>
    <s v="No"/>
    <n v="0"/>
    <n v="1"/>
    <n v="4"/>
  </r>
  <r>
    <n v="3352"/>
    <s v="João Marcelo"/>
    <x v="0"/>
    <d v="2024-06-26T00:00:00"/>
    <x v="0"/>
    <n v="15"/>
    <x v="2"/>
    <s v="Yes"/>
    <n v="30"/>
    <n v="30"/>
    <s v="Yes"/>
    <n v="20"/>
    <n v="7"/>
    <n v="58"/>
  </r>
  <r>
    <n v="3353"/>
    <s v="Larissa Gomes"/>
    <x v="2"/>
    <d v="2024-06-27T00:00:00"/>
    <x v="1"/>
    <n v="10"/>
    <x v="0"/>
    <s v="No"/>
    <m/>
    <s v=""/>
    <s v="Yes"/>
    <n v="20"/>
    <n v="10"/>
    <n v="20"/>
  </r>
  <r>
    <n v="3354"/>
    <s v="Márcio Silva"/>
    <x v="1"/>
    <d v="2024-06-28T00:00:00"/>
    <x v="0"/>
    <n v="5"/>
    <x v="1"/>
    <s v="No"/>
    <m/>
    <s v=""/>
    <s v="No"/>
    <n v="0"/>
    <n v="0"/>
    <n v="5"/>
  </r>
  <r>
    <n v="3355"/>
    <s v="Nadia Costa"/>
    <x v="0"/>
    <d v="2024-06-29T00:00:00"/>
    <x v="1"/>
    <n v="15"/>
    <x v="0"/>
    <s v="Yes"/>
    <n v="30"/>
    <n v="30"/>
    <s v="Yes"/>
    <n v="20"/>
    <n v="20"/>
    <n v="45"/>
  </r>
  <r>
    <n v="3356"/>
    <s v="Oscar Almeida"/>
    <x v="2"/>
    <d v="2024-06-30T00:00:00"/>
    <x v="0"/>
    <n v="10"/>
    <x v="2"/>
    <s v="No"/>
    <m/>
    <s v=""/>
    <s v="Yes"/>
    <n v="20"/>
    <n v="15"/>
    <n v="15"/>
  </r>
  <r>
    <n v="3357"/>
    <s v="Patricia Soares"/>
    <x v="1"/>
    <d v="2024-07-01T00:00:00"/>
    <x v="1"/>
    <n v="5"/>
    <x v="0"/>
    <s v="No"/>
    <m/>
    <s v=""/>
    <s v="No"/>
    <n v="0"/>
    <n v="1"/>
    <n v="4"/>
  </r>
  <r>
    <n v="3358"/>
    <s v="Quênia Barros"/>
    <x v="0"/>
    <d v="2024-07-02T00:00:00"/>
    <x v="0"/>
    <n v="15"/>
    <x v="1"/>
    <s v="Yes"/>
    <n v="30"/>
    <n v="30"/>
    <s v="Yes"/>
    <n v="20"/>
    <n v="3"/>
    <n v="62"/>
  </r>
  <r>
    <n v="3359"/>
    <s v="Rafael Torres"/>
    <x v="2"/>
    <d v="2024-07-03T00:00:00"/>
    <x v="1"/>
    <n v="10"/>
    <x v="0"/>
    <s v="No"/>
    <m/>
    <s v=""/>
    <s v="Yes"/>
    <n v="20"/>
    <n v="10"/>
    <n v="20"/>
  </r>
  <r>
    <n v="3360"/>
    <s v="Silvia Nascimento"/>
    <x v="1"/>
    <d v="2024-07-04T00:00:00"/>
    <x v="0"/>
    <n v="5"/>
    <x v="2"/>
    <s v="No"/>
    <m/>
    <s v=""/>
    <s v="No"/>
    <n v="0"/>
    <n v="0"/>
    <n v="5"/>
  </r>
  <r>
    <n v="3361"/>
    <s v="Tiago Mendes"/>
    <x v="0"/>
    <d v="2024-07-05T00:00:00"/>
    <x v="1"/>
    <n v="15"/>
    <x v="0"/>
    <s v="Yes"/>
    <n v="30"/>
    <n v="30"/>
    <s v="Yes"/>
    <n v="20"/>
    <n v="15"/>
    <n v="50"/>
  </r>
  <r>
    <n v="3362"/>
    <s v="Ursula Silva"/>
    <x v="2"/>
    <d v="2024-07-06T00:00:00"/>
    <x v="0"/>
    <n v="10"/>
    <x v="1"/>
    <s v="No"/>
    <m/>
    <s v=""/>
    <s v="Yes"/>
    <n v="20"/>
    <n v="15"/>
    <n v="15"/>
  </r>
  <r>
    <n v="3363"/>
    <s v="Vanessa Moraes"/>
    <x v="1"/>
    <d v="2024-07-07T00:00:00"/>
    <x v="1"/>
    <n v="5"/>
    <x v="0"/>
    <s v="No"/>
    <m/>
    <s v=""/>
    <s v="No"/>
    <n v="0"/>
    <n v="1"/>
    <n v="4"/>
  </r>
  <r>
    <n v="3364"/>
    <s v="Waldir Junior"/>
    <x v="0"/>
    <d v="2024-07-08T00:00:00"/>
    <x v="0"/>
    <n v="15"/>
    <x v="2"/>
    <s v="Yes"/>
    <n v="30"/>
    <n v="30"/>
    <s v="Yes"/>
    <n v="20"/>
    <n v="7"/>
    <n v="58"/>
  </r>
  <r>
    <n v="3365"/>
    <s v="Xavier Lopes"/>
    <x v="2"/>
    <d v="2024-07-09T00:00:00"/>
    <x v="1"/>
    <n v="10"/>
    <x v="0"/>
    <s v="No"/>
    <m/>
    <s v=""/>
    <s v="Yes"/>
    <n v="20"/>
    <n v="10"/>
    <n v="20"/>
  </r>
  <r>
    <n v="3366"/>
    <s v="Yolanda Freitas"/>
    <x v="1"/>
    <d v="2024-07-10T00:00:00"/>
    <x v="0"/>
    <n v="5"/>
    <x v="0"/>
    <s v="No"/>
    <m/>
    <s v=""/>
    <s v="No"/>
    <n v="0"/>
    <n v="0"/>
    <n v="5"/>
  </r>
  <r>
    <n v="3367"/>
    <s v="Zacarias Nunes"/>
    <x v="0"/>
    <d v="2024-07-11T00:00:00"/>
    <x v="1"/>
    <n v="15"/>
    <x v="2"/>
    <s v="Yes"/>
    <n v="30"/>
    <n v="30"/>
    <s v="Yes"/>
    <n v="20"/>
    <n v="7"/>
    <n v="58"/>
  </r>
  <r>
    <n v="3368"/>
    <s v="Ana Clara Barreto"/>
    <x v="2"/>
    <d v="2024-07-12T00:00:00"/>
    <x v="0"/>
    <n v="10"/>
    <x v="1"/>
    <s v="No"/>
    <m/>
    <s v=""/>
    <s v="Yes"/>
    <n v="20"/>
    <n v="10"/>
    <n v="20"/>
  </r>
  <r>
    <n v="3369"/>
    <s v="Bruno Henrique"/>
    <x v="1"/>
    <d v="2024-07-13T00:00:00"/>
    <x v="1"/>
    <n v="5"/>
    <x v="2"/>
    <s v="No"/>
    <m/>
    <s v=""/>
    <s v="No"/>
    <n v="0"/>
    <n v="1"/>
    <n v="4"/>
  </r>
  <r>
    <n v="3370"/>
    <s v="Carlos Eduardo"/>
    <x v="0"/>
    <d v="2024-07-14T00:00:00"/>
    <x v="0"/>
    <n v="15"/>
    <x v="0"/>
    <s v="Yes"/>
    <n v="30"/>
    <n v="30"/>
    <s v="Yes"/>
    <n v="20"/>
    <n v="15"/>
    <n v="50"/>
  </r>
  <r>
    <n v="3371"/>
    <s v="Débora Lima"/>
    <x v="2"/>
    <d v="2024-07-15T00:00:00"/>
    <x v="1"/>
    <n v="10"/>
    <x v="0"/>
    <s v="No"/>
    <m/>
    <s v=""/>
    <s v="Yes"/>
    <n v="20"/>
    <n v="5"/>
    <n v="25"/>
  </r>
  <r>
    <n v="3372"/>
    <s v="Elisa Neves"/>
    <x v="1"/>
    <d v="2024-07-16T00:00:00"/>
    <x v="0"/>
    <n v="5"/>
    <x v="1"/>
    <s v="No"/>
    <m/>
    <s v=""/>
    <s v="No"/>
    <n v="0"/>
    <n v="0"/>
    <n v="5"/>
  </r>
  <r>
    <n v="3373"/>
    <s v="Fabiano Gomes"/>
    <x v="0"/>
    <d v="2024-07-17T00:00:00"/>
    <x v="1"/>
    <n v="15"/>
    <x v="2"/>
    <s v="Yes"/>
    <n v="30"/>
    <n v="30"/>
    <s v="Yes"/>
    <n v="20"/>
    <n v="20"/>
    <n v="45"/>
  </r>
  <r>
    <n v="3374"/>
    <s v="Gisele Oliveira"/>
    <x v="2"/>
    <d v="2024-07-18T00:00:00"/>
    <x v="0"/>
    <n v="10"/>
    <x v="2"/>
    <s v="No"/>
    <m/>
    <s v=""/>
    <s v="Yes"/>
    <n v="20"/>
    <n v="12"/>
    <n v="18"/>
  </r>
  <r>
    <n v="3375"/>
    <s v="Héctor Silva"/>
    <x v="1"/>
    <d v="2024-07-19T00:00:00"/>
    <x v="1"/>
    <n v="5"/>
    <x v="0"/>
    <s v="No"/>
    <m/>
    <s v=""/>
    <s v="No"/>
    <n v="0"/>
    <n v="2"/>
    <n v="3"/>
  </r>
  <r>
    <n v="3376"/>
    <s v="Igor Martins"/>
    <x v="0"/>
    <d v="2024-07-20T00:00:00"/>
    <x v="0"/>
    <n v="15"/>
    <x v="1"/>
    <s v="Yes"/>
    <n v="30"/>
    <n v="30"/>
    <s v="Yes"/>
    <n v="20"/>
    <n v="5"/>
    <n v="60"/>
  </r>
  <r>
    <n v="3377"/>
    <s v="Joana Figueiredo"/>
    <x v="2"/>
    <d v="2024-07-21T00:00:00"/>
    <x v="1"/>
    <n v="10"/>
    <x v="0"/>
    <s v="No"/>
    <m/>
    <s v=""/>
    <s v="Yes"/>
    <n v="20"/>
    <n v="10"/>
    <n v="20"/>
  </r>
  <r>
    <n v="3378"/>
    <s v="Kleber Machado"/>
    <x v="1"/>
    <d v="2024-07-22T00:00:00"/>
    <x v="0"/>
    <n v="5"/>
    <x v="2"/>
    <s v="No"/>
    <m/>
    <s v=""/>
    <s v="No"/>
    <n v="0"/>
    <n v="0"/>
    <n v="5"/>
  </r>
  <r>
    <n v="3379"/>
    <s v="Luciana Santos"/>
    <x v="0"/>
    <d v="2024-07-23T00:00:00"/>
    <x v="1"/>
    <n v="15"/>
    <x v="0"/>
    <s v="Yes"/>
    <n v="30"/>
    <n v="30"/>
    <s v="Yes"/>
    <n v="20"/>
    <n v="3"/>
    <n v="62"/>
  </r>
  <r>
    <n v="3380"/>
    <s v="Marcos Teixeira"/>
    <x v="2"/>
    <d v="2024-07-24T00:00:00"/>
    <x v="0"/>
    <n v="10"/>
    <x v="1"/>
    <s v="No"/>
    <m/>
    <s v=""/>
    <s v="Yes"/>
    <n v="20"/>
    <n v="15"/>
    <n v="15"/>
  </r>
  <r>
    <n v="3381"/>
    <s v="Natalia Costa"/>
    <x v="1"/>
    <d v="2024-07-25T00:00:00"/>
    <x v="1"/>
    <n v="5"/>
    <x v="0"/>
    <s v="No"/>
    <m/>
    <s v=""/>
    <s v="No"/>
    <n v="0"/>
    <n v="1"/>
    <n v="4"/>
  </r>
  <r>
    <n v="3382"/>
    <s v="Oscar Ribeiro"/>
    <x v="0"/>
    <d v="2024-07-26T00:00:00"/>
    <x v="0"/>
    <n v="15"/>
    <x v="2"/>
    <s v="Yes"/>
    <n v="30"/>
    <n v="30"/>
    <s v="Yes"/>
    <n v="20"/>
    <n v="7"/>
    <n v="58"/>
  </r>
  <r>
    <n v="3383"/>
    <s v="Patricia Almeida"/>
    <x v="2"/>
    <d v="2024-07-27T00:00:00"/>
    <x v="1"/>
    <n v="10"/>
    <x v="0"/>
    <s v="No"/>
    <m/>
    <s v=""/>
    <s v="Yes"/>
    <n v="20"/>
    <n v="10"/>
    <n v="20"/>
  </r>
  <r>
    <n v="3384"/>
    <s v="Quirino Junior"/>
    <x v="1"/>
    <d v="2024-07-28T00:00:00"/>
    <x v="0"/>
    <n v="5"/>
    <x v="1"/>
    <s v="No"/>
    <m/>
    <s v=""/>
    <s v="No"/>
    <n v="0"/>
    <n v="0"/>
    <n v="5"/>
  </r>
  <r>
    <n v="3385"/>
    <s v="Renata Machado"/>
    <x v="0"/>
    <d v="2024-07-29T00:00:00"/>
    <x v="1"/>
    <n v="15"/>
    <x v="0"/>
    <s v="Yes"/>
    <n v="30"/>
    <n v="30"/>
    <s v="Yes"/>
    <n v="20"/>
    <n v="20"/>
    <n v="45"/>
  </r>
  <r>
    <n v="3386"/>
    <s v="Sônia Alves"/>
    <x v="2"/>
    <d v="2024-07-30T00:00:00"/>
    <x v="0"/>
    <n v="10"/>
    <x v="2"/>
    <s v="No"/>
    <m/>
    <s v=""/>
    <s v="Yes"/>
    <n v="20"/>
    <n v="15"/>
    <n v="15"/>
  </r>
  <r>
    <n v="3387"/>
    <s v="Tiago Nunes"/>
    <x v="1"/>
    <d v="2024-07-31T00:00:00"/>
    <x v="1"/>
    <n v="5"/>
    <x v="0"/>
    <s v="No"/>
    <m/>
    <s v=""/>
    <s v="No"/>
    <n v="0"/>
    <n v="1"/>
    <n v="4"/>
  </r>
  <r>
    <n v="3388"/>
    <s v="Ulysses Pereira"/>
    <x v="0"/>
    <d v="2024-08-01T00:00:00"/>
    <x v="0"/>
    <n v="15"/>
    <x v="1"/>
    <s v="Yes"/>
    <n v="30"/>
    <n v="30"/>
    <s v="Yes"/>
    <n v="20"/>
    <n v="3"/>
    <n v="62"/>
  </r>
  <r>
    <n v="3389"/>
    <s v="Vanessa Lima"/>
    <x v="2"/>
    <d v="2024-08-02T00:00:00"/>
    <x v="1"/>
    <n v="10"/>
    <x v="0"/>
    <s v="No"/>
    <m/>
    <s v=""/>
    <s v="Yes"/>
    <n v="20"/>
    <n v="10"/>
    <n v="20"/>
  </r>
  <r>
    <n v="3390"/>
    <s v="Wagner Santos"/>
    <x v="1"/>
    <d v="2024-08-03T00:00:00"/>
    <x v="0"/>
    <n v="5"/>
    <x v="2"/>
    <s v="No"/>
    <m/>
    <s v=""/>
    <s v="No"/>
    <n v="0"/>
    <n v="0"/>
    <n v="5"/>
  </r>
  <r>
    <n v="3391"/>
    <s v="Xuxa Meneghel"/>
    <x v="0"/>
    <d v="2024-08-04T00:00:00"/>
    <x v="1"/>
    <n v="15"/>
    <x v="0"/>
    <s v="Yes"/>
    <n v="30"/>
    <n v="30"/>
    <s v="Yes"/>
    <n v="20"/>
    <n v="15"/>
    <n v="50"/>
  </r>
  <r>
    <n v="3392"/>
    <s v="Yasmin Silva"/>
    <x v="2"/>
    <d v="2024-08-05T00:00:00"/>
    <x v="0"/>
    <n v="10"/>
    <x v="1"/>
    <s v="No"/>
    <m/>
    <s v=""/>
    <s v="Yes"/>
    <n v="20"/>
    <n v="15"/>
    <n v="15"/>
  </r>
  <r>
    <n v="3393"/>
    <s v="Zacarias de Souza"/>
    <x v="1"/>
    <d v="2024-08-06T00:00:00"/>
    <x v="1"/>
    <n v="5"/>
    <x v="0"/>
    <s v="No"/>
    <m/>
    <s v=""/>
    <s v="No"/>
    <n v="0"/>
    <n v="1"/>
    <n v="4"/>
  </r>
  <r>
    <n v="3394"/>
    <s v="André Lima"/>
    <x v="0"/>
    <d v="2024-08-07T00:00:00"/>
    <x v="0"/>
    <n v="15"/>
    <x v="2"/>
    <s v="Yes"/>
    <n v="30"/>
    <n v="30"/>
    <s v="Yes"/>
    <n v="20"/>
    <n v="7"/>
    <n v="58"/>
  </r>
  <r>
    <n v="3395"/>
    <s v="Bianca Freitas"/>
    <x v="2"/>
    <d v="2024-08-08T00:00:00"/>
    <x v="1"/>
    <n v="10"/>
    <x v="0"/>
    <s v="No"/>
    <m/>
    <s v=""/>
    <s v="Yes"/>
    <n v="20"/>
    <n v="10"/>
    <n v="20"/>
  </r>
  <r>
    <n v="3396"/>
    <s v="Caio Mendes"/>
    <x v="1"/>
    <d v="2024-08-09T00:00:00"/>
    <x v="0"/>
    <n v="5"/>
    <x v="1"/>
    <s v="No"/>
    <m/>
    <s v=""/>
    <s v="No"/>
    <n v="0"/>
    <n v="0"/>
    <n v="5"/>
  </r>
  <r>
    <n v="3397"/>
    <s v="Daniela Moura"/>
    <x v="0"/>
    <d v="2024-08-10T00:00:00"/>
    <x v="1"/>
    <n v="15"/>
    <x v="0"/>
    <s v="Yes"/>
    <n v="30"/>
    <n v="30"/>
    <s v="Yes"/>
    <n v="20"/>
    <n v="20"/>
    <n v="45"/>
  </r>
  <r>
    <n v="3398"/>
    <s v="Eduardo Costa"/>
    <x v="2"/>
    <d v="2024-08-11T00:00:00"/>
    <x v="0"/>
    <n v="10"/>
    <x v="2"/>
    <s v="No"/>
    <m/>
    <s v=""/>
    <s v="Yes"/>
    <n v="20"/>
    <n v="15"/>
    <n v="15"/>
  </r>
  <r>
    <n v="3399"/>
    <s v="Fernanda Gomes"/>
    <x v="1"/>
    <d v="2024-08-12T00:00:00"/>
    <x v="1"/>
    <n v="5"/>
    <x v="0"/>
    <s v="No"/>
    <m/>
    <s v=""/>
    <s v="No"/>
    <n v="0"/>
    <n v="1"/>
    <n v="4"/>
  </r>
  <r>
    <n v="3400"/>
    <s v="Guilherme Souza"/>
    <x v="0"/>
    <d v="2024-08-13T00:00:00"/>
    <x v="0"/>
    <n v="15"/>
    <x v="1"/>
    <s v="Yes"/>
    <n v="30"/>
    <n v="30"/>
    <s v="Yes"/>
    <n v="20"/>
    <n v="5"/>
    <n v="60"/>
  </r>
  <r>
    <n v="3401"/>
    <s v="Helena Ribeiro"/>
    <x v="2"/>
    <d v="2024-08-14T00:00:00"/>
    <x v="1"/>
    <n v="10"/>
    <x v="0"/>
    <s v="No"/>
    <m/>
    <s v=""/>
    <s v="Yes"/>
    <n v="20"/>
    <n v="10"/>
    <n v="20"/>
  </r>
  <r>
    <n v="3402"/>
    <s v="Igor Santos"/>
    <x v="1"/>
    <d v="2024-08-15T00:00:00"/>
    <x v="0"/>
    <n v="5"/>
    <x v="2"/>
    <s v="No"/>
    <m/>
    <s v=""/>
    <s v="No"/>
    <n v="0"/>
    <n v="0"/>
    <n v="5"/>
  </r>
  <r>
    <n v="3403"/>
    <s v="João Carvalho"/>
    <x v="0"/>
    <d v="2024-08-16T00:00:00"/>
    <x v="1"/>
    <n v="15"/>
    <x v="0"/>
    <s v="Yes"/>
    <n v="30"/>
    <n v="30"/>
    <s v="Yes"/>
    <n v="20"/>
    <n v="3"/>
    <n v="62"/>
  </r>
  <r>
    <n v="3404"/>
    <s v="Klara Fagundes"/>
    <x v="2"/>
    <d v="2024-08-17T00:00:00"/>
    <x v="0"/>
    <n v="10"/>
    <x v="1"/>
    <s v="No"/>
    <m/>
    <s v=""/>
    <s v="Yes"/>
    <n v="20"/>
    <n v="15"/>
    <n v="15"/>
  </r>
  <r>
    <n v="3405"/>
    <s v="Lúcia Mendonça"/>
    <x v="1"/>
    <d v="2024-08-18T00:00:00"/>
    <x v="1"/>
    <n v="5"/>
    <x v="0"/>
    <s v="No"/>
    <m/>
    <s v=""/>
    <s v="No"/>
    <n v="0"/>
    <n v="1"/>
    <n v="4"/>
  </r>
  <r>
    <n v="3406"/>
    <s v="Marcelo Novaes"/>
    <x v="1"/>
    <d v="2024-08-19T00:00:00"/>
    <x v="0"/>
    <n v="5"/>
    <x v="0"/>
    <s v="No"/>
    <m/>
    <s v=""/>
    <s v="No"/>
    <n v="0"/>
    <n v="0"/>
    <n v="5"/>
  </r>
  <r>
    <n v="3407"/>
    <s v="Nina Pacheco"/>
    <x v="0"/>
    <d v="2024-08-20T00:00:00"/>
    <x v="1"/>
    <n v="15"/>
    <x v="2"/>
    <s v="Yes"/>
    <n v="30"/>
    <n v="30"/>
    <s v="Yes"/>
    <n v="20"/>
    <n v="7"/>
    <n v="58"/>
  </r>
  <r>
    <n v="3408"/>
    <s v="Olívia Rios"/>
    <x v="2"/>
    <d v="2024-08-21T00:00:00"/>
    <x v="0"/>
    <n v="10"/>
    <x v="1"/>
    <s v="No"/>
    <m/>
    <s v=""/>
    <s v="Yes"/>
    <n v="20"/>
    <n v="10"/>
    <n v="20"/>
  </r>
  <r>
    <n v="3409"/>
    <s v="Paulo Quintana"/>
    <x v="1"/>
    <d v="2024-08-22T00:00:00"/>
    <x v="1"/>
    <n v="5"/>
    <x v="2"/>
    <s v="No"/>
    <m/>
    <s v=""/>
    <s v="No"/>
    <n v="0"/>
    <n v="1"/>
    <n v="4"/>
  </r>
  <r>
    <n v="3410"/>
    <s v="Raquel Domingos"/>
    <x v="0"/>
    <d v="2024-08-23T00:00:00"/>
    <x v="0"/>
    <n v="15"/>
    <x v="0"/>
    <s v="Yes"/>
    <n v="30"/>
    <n v="30"/>
    <s v="Yes"/>
    <n v="20"/>
    <n v="15"/>
    <n v="50"/>
  </r>
  <r>
    <n v="3411"/>
    <s v="Samuel Viana"/>
    <x v="2"/>
    <d v="2024-08-24T00:00:00"/>
    <x v="1"/>
    <n v="10"/>
    <x v="0"/>
    <s v="No"/>
    <m/>
    <s v=""/>
    <s v="Yes"/>
    <n v="20"/>
    <n v="5"/>
    <n v="25"/>
  </r>
  <r>
    <n v="3412"/>
    <s v="Tatiane Rocha"/>
    <x v="1"/>
    <d v="2024-08-25T00:00:00"/>
    <x v="0"/>
    <n v="5"/>
    <x v="1"/>
    <s v="No"/>
    <m/>
    <s v=""/>
    <s v="No"/>
    <n v="0"/>
    <n v="0"/>
    <n v="5"/>
  </r>
  <r>
    <n v="3413"/>
    <s v="Ulysses Farias"/>
    <x v="0"/>
    <d v="2024-08-26T00:00:00"/>
    <x v="1"/>
    <n v="15"/>
    <x v="2"/>
    <s v="Yes"/>
    <n v="30"/>
    <n v="30"/>
    <s v="Yes"/>
    <n v="20"/>
    <n v="20"/>
    <n v="45"/>
  </r>
  <r>
    <n v="3414"/>
    <s v="Vanessa Moreira"/>
    <x v="2"/>
    <d v="2024-08-27T00:00:00"/>
    <x v="0"/>
    <n v="10"/>
    <x v="2"/>
    <s v="No"/>
    <m/>
    <s v=""/>
    <s v="Yes"/>
    <n v="20"/>
    <n v="12"/>
    <n v="18"/>
  </r>
  <r>
    <n v="3415"/>
    <s v="William Carvalho"/>
    <x v="1"/>
    <d v="2024-08-28T00:00:00"/>
    <x v="1"/>
    <n v="5"/>
    <x v="0"/>
    <s v="No"/>
    <m/>
    <s v=""/>
    <s v="No"/>
    <n v="0"/>
    <n v="2"/>
    <n v="3"/>
  </r>
  <r>
    <n v="3416"/>
    <s v="Ximena Barros"/>
    <x v="0"/>
    <d v="2024-08-29T00:00:00"/>
    <x v="0"/>
    <n v="15"/>
    <x v="1"/>
    <s v="Yes"/>
    <n v="30"/>
    <n v="30"/>
    <s v="Yes"/>
    <n v="20"/>
    <n v="5"/>
    <n v="60"/>
  </r>
  <r>
    <n v="3417"/>
    <s v="Yara Machado"/>
    <x v="2"/>
    <d v="2024-08-30T00:00:00"/>
    <x v="1"/>
    <n v="10"/>
    <x v="0"/>
    <s v="No"/>
    <m/>
    <s v=""/>
    <s v="Yes"/>
    <n v="20"/>
    <n v="10"/>
    <n v="20"/>
  </r>
  <r>
    <n v="3418"/>
    <s v="Zacarias Costa"/>
    <x v="1"/>
    <d v="2024-08-31T00:00:00"/>
    <x v="0"/>
    <n v="5"/>
    <x v="2"/>
    <s v="No"/>
    <m/>
    <s v=""/>
    <s v="No"/>
    <n v="0"/>
    <n v="0"/>
    <n v="5"/>
  </r>
  <r>
    <n v="3419"/>
    <s v="André Lopes"/>
    <x v="0"/>
    <d v="2024-09-01T00:00:00"/>
    <x v="1"/>
    <n v="15"/>
    <x v="0"/>
    <s v="Yes"/>
    <n v="30"/>
    <n v="30"/>
    <s v="Yes"/>
    <n v="20"/>
    <n v="3"/>
    <n v="62"/>
  </r>
  <r>
    <n v="3420"/>
    <s v="Beatriz Souza"/>
    <x v="2"/>
    <d v="2024-09-02T00:00:00"/>
    <x v="0"/>
    <n v="10"/>
    <x v="1"/>
    <s v="No"/>
    <m/>
    <s v=""/>
    <s v="Yes"/>
    <n v="20"/>
    <n v="15"/>
    <n v="15"/>
  </r>
  <r>
    <n v="3421"/>
    <s v="Caio Pereira"/>
    <x v="1"/>
    <d v="2024-09-03T00:00:00"/>
    <x v="1"/>
    <n v="5"/>
    <x v="0"/>
    <s v="No"/>
    <m/>
    <s v=""/>
    <s v="No"/>
    <n v="0"/>
    <n v="1"/>
    <n v="4"/>
  </r>
  <r>
    <n v="3422"/>
    <s v="Daniela Araújo"/>
    <x v="0"/>
    <d v="2024-09-04T00:00:00"/>
    <x v="0"/>
    <n v="15"/>
    <x v="2"/>
    <s v="Yes"/>
    <n v="30"/>
    <n v="30"/>
    <s v="Yes"/>
    <n v="20"/>
    <n v="7"/>
    <n v="58"/>
  </r>
  <r>
    <n v="3423"/>
    <s v="Eduardo Santos"/>
    <x v="2"/>
    <d v="2024-09-05T00:00:00"/>
    <x v="1"/>
    <n v="10"/>
    <x v="0"/>
    <s v="No"/>
    <m/>
    <s v=""/>
    <s v="Yes"/>
    <n v="20"/>
    <n v="10"/>
    <n v="20"/>
  </r>
  <r>
    <n v="3424"/>
    <s v="Fernanda Lima"/>
    <x v="1"/>
    <d v="2024-09-06T00:00:00"/>
    <x v="0"/>
    <n v="5"/>
    <x v="1"/>
    <s v="No"/>
    <m/>
    <s v=""/>
    <s v="No"/>
    <n v="0"/>
    <n v="0"/>
    <n v="5"/>
  </r>
  <r>
    <n v="3425"/>
    <s v="Gabriel Teixeira"/>
    <x v="0"/>
    <d v="2024-09-07T00:00:00"/>
    <x v="1"/>
    <n v="15"/>
    <x v="0"/>
    <s v="Yes"/>
    <n v="30"/>
    <n v="30"/>
    <s v="Yes"/>
    <n v="20"/>
    <n v="20"/>
    <n v="45"/>
  </r>
  <r>
    <n v="3426"/>
    <s v="Helena Ribeiro"/>
    <x v="2"/>
    <d v="2024-09-08T00:00:00"/>
    <x v="0"/>
    <n v="10"/>
    <x v="2"/>
    <s v="No"/>
    <m/>
    <s v=""/>
    <s v="Yes"/>
    <n v="20"/>
    <n v="15"/>
    <n v="15"/>
  </r>
  <r>
    <n v="3427"/>
    <s v="Igor Mendes"/>
    <x v="1"/>
    <d v="2024-09-09T00:00:00"/>
    <x v="1"/>
    <n v="5"/>
    <x v="0"/>
    <s v="No"/>
    <m/>
    <s v=""/>
    <s v="No"/>
    <n v="0"/>
    <n v="1"/>
    <n v="4"/>
  </r>
  <r>
    <n v="3428"/>
    <s v="Joana Silveira"/>
    <x v="0"/>
    <d v="2024-09-10T00:00:00"/>
    <x v="0"/>
    <n v="15"/>
    <x v="1"/>
    <s v="Yes"/>
    <n v="30"/>
    <n v="30"/>
    <s v="Yes"/>
    <n v="20"/>
    <n v="3"/>
    <n v="62"/>
  </r>
  <r>
    <n v="3429"/>
    <s v="Lucas Martins"/>
    <x v="2"/>
    <d v="2024-09-11T00:00:00"/>
    <x v="1"/>
    <n v="10"/>
    <x v="0"/>
    <s v="No"/>
    <m/>
    <s v=""/>
    <s v="Yes"/>
    <n v="20"/>
    <n v="10"/>
    <n v="20"/>
  </r>
  <r>
    <n v="3430"/>
    <s v="Marcela Gouveia"/>
    <x v="1"/>
    <d v="2024-09-12T00:00:00"/>
    <x v="0"/>
    <n v="5"/>
    <x v="2"/>
    <s v="No"/>
    <m/>
    <s v=""/>
    <s v="No"/>
    <n v="0"/>
    <n v="0"/>
    <n v="5"/>
  </r>
  <r>
    <n v="3431"/>
    <s v="Nicolas Borges"/>
    <x v="0"/>
    <d v="2024-09-13T00:00:00"/>
    <x v="1"/>
    <n v="15"/>
    <x v="0"/>
    <s v="Yes"/>
    <n v="30"/>
    <n v="30"/>
    <s v="Yes"/>
    <n v="20"/>
    <n v="15"/>
    <n v="50"/>
  </r>
  <r>
    <n v="3432"/>
    <s v="Olivia Freitas"/>
    <x v="2"/>
    <d v="2024-09-14T00:00:00"/>
    <x v="0"/>
    <n v="10"/>
    <x v="1"/>
    <s v="No"/>
    <m/>
    <s v=""/>
    <s v="Yes"/>
    <n v="20"/>
    <n v="15"/>
    <n v="15"/>
  </r>
  <r>
    <n v="3433"/>
    <s v="Paulo Nogueira"/>
    <x v="1"/>
    <d v="2024-09-15T00:00:00"/>
    <x v="1"/>
    <n v="5"/>
    <x v="0"/>
    <s v="No"/>
    <m/>
    <s v=""/>
    <s v="No"/>
    <n v="0"/>
    <n v="1"/>
    <n v="4"/>
  </r>
  <r>
    <n v="3434"/>
    <s v="Raquel Andrade"/>
    <x v="0"/>
    <d v="2024-09-16T00:00:00"/>
    <x v="0"/>
    <n v="15"/>
    <x v="2"/>
    <s v="Yes"/>
    <n v="30"/>
    <n v="30"/>
    <s v="Yes"/>
    <n v="20"/>
    <n v="7"/>
    <n v="58"/>
  </r>
  <r>
    <n v="3435"/>
    <s v="Sônia Carvalho"/>
    <x v="2"/>
    <d v="2024-09-17T00:00:00"/>
    <x v="1"/>
    <n v="10"/>
    <x v="0"/>
    <s v="No"/>
    <m/>
    <s v=""/>
    <s v="Yes"/>
    <n v="20"/>
    <n v="10"/>
    <n v="20"/>
  </r>
  <r>
    <n v="3436"/>
    <s v="Tiago Rodrigues"/>
    <x v="1"/>
    <d v="2024-09-18T00:00:00"/>
    <x v="0"/>
    <n v="5"/>
    <x v="0"/>
    <s v="No"/>
    <m/>
    <s v=""/>
    <s v="No"/>
    <n v="0"/>
    <n v="0"/>
    <n v="5"/>
  </r>
  <r>
    <n v="3437"/>
    <s v="Ursula Monteiro"/>
    <x v="0"/>
    <d v="2024-09-19T00:00:00"/>
    <x v="1"/>
    <n v="15"/>
    <x v="2"/>
    <s v="Yes"/>
    <n v="30"/>
    <n v="30"/>
    <s v="Yes"/>
    <n v="20"/>
    <n v="7"/>
    <n v="58"/>
  </r>
  <r>
    <n v="3438"/>
    <s v="Vanessa Pereira"/>
    <x v="2"/>
    <d v="2024-09-20T00:00:00"/>
    <x v="0"/>
    <n v="10"/>
    <x v="1"/>
    <s v="No"/>
    <m/>
    <s v=""/>
    <s v="Yes"/>
    <n v="20"/>
    <n v="10"/>
    <n v="20"/>
  </r>
  <r>
    <n v="3439"/>
    <s v="Walter Silva"/>
    <x v="1"/>
    <d v="2024-09-21T00:00:00"/>
    <x v="1"/>
    <n v="5"/>
    <x v="2"/>
    <s v="No"/>
    <m/>
    <s v=""/>
    <s v="No"/>
    <n v="0"/>
    <n v="1"/>
    <n v="4"/>
  </r>
  <r>
    <n v="3440"/>
    <s v="Xavier Almeida"/>
    <x v="0"/>
    <d v="2024-09-22T00:00:00"/>
    <x v="0"/>
    <n v="15"/>
    <x v="0"/>
    <s v="Yes"/>
    <n v="30"/>
    <n v="30"/>
    <s v="Yes"/>
    <n v="20"/>
    <n v="15"/>
    <n v="50"/>
  </r>
  <r>
    <n v="3441"/>
    <s v="Yasmine Correia"/>
    <x v="2"/>
    <d v="2024-09-23T00:00:00"/>
    <x v="1"/>
    <n v="10"/>
    <x v="0"/>
    <s v="No"/>
    <m/>
    <s v=""/>
    <s v="Yes"/>
    <n v="20"/>
    <n v="5"/>
    <n v="25"/>
  </r>
  <r>
    <n v="3442"/>
    <s v="Zacarias Almeida"/>
    <x v="1"/>
    <d v="2024-09-24T00:00:00"/>
    <x v="0"/>
    <n v="5"/>
    <x v="1"/>
    <s v="No"/>
    <m/>
    <s v=""/>
    <s v="No"/>
    <n v="0"/>
    <n v="0"/>
    <n v="5"/>
  </r>
  <r>
    <n v="3443"/>
    <s v="Amanda Costa"/>
    <x v="0"/>
    <d v="2024-09-25T00:00:00"/>
    <x v="1"/>
    <n v="15"/>
    <x v="2"/>
    <s v="Yes"/>
    <n v="30"/>
    <n v="30"/>
    <s v="Yes"/>
    <n v="20"/>
    <n v="20"/>
    <n v="45"/>
  </r>
  <r>
    <n v="3444"/>
    <s v="Bruno Ferreira"/>
    <x v="2"/>
    <d v="2024-09-26T00:00:00"/>
    <x v="0"/>
    <n v="10"/>
    <x v="2"/>
    <s v="No"/>
    <m/>
    <s v=""/>
    <s v="Yes"/>
    <n v="20"/>
    <n v="12"/>
    <n v="18"/>
  </r>
  <r>
    <n v="3445"/>
    <s v="Carla Dias"/>
    <x v="1"/>
    <d v="2024-09-27T00:00:00"/>
    <x v="1"/>
    <n v="5"/>
    <x v="0"/>
    <s v="No"/>
    <m/>
    <s v=""/>
    <s v="No"/>
    <n v="0"/>
    <n v="2"/>
    <n v="3"/>
  </r>
  <r>
    <n v="3446"/>
    <s v="Diogo Martins"/>
    <x v="0"/>
    <d v="2024-09-28T00:00:00"/>
    <x v="0"/>
    <n v="15"/>
    <x v="1"/>
    <s v="Yes"/>
    <n v="30"/>
    <n v="30"/>
    <s v="Yes"/>
    <n v="20"/>
    <n v="5"/>
    <n v="60"/>
  </r>
  <r>
    <n v="3447"/>
    <s v="Elisa Campos"/>
    <x v="2"/>
    <d v="2024-09-29T00:00:00"/>
    <x v="1"/>
    <n v="10"/>
    <x v="0"/>
    <s v="No"/>
    <m/>
    <s v=""/>
    <s v="Yes"/>
    <n v="20"/>
    <n v="10"/>
    <n v="20"/>
  </r>
  <r>
    <n v="3448"/>
    <s v="Fabiana Lima"/>
    <x v="1"/>
    <d v="2024-09-30T00:00:00"/>
    <x v="0"/>
    <n v="5"/>
    <x v="2"/>
    <s v="No"/>
    <m/>
    <s v=""/>
    <s v="No"/>
    <n v="0"/>
    <n v="0"/>
    <n v="5"/>
  </r>
  <r>
    <n v="3449"/>
    <s v="Gabriel Santos"/>
    <x v="0"/>
    <d v="2024-10-01T00:00:00"/>
    <x v="1"/>
    <n v="15"/>
    <x v="0"/>
    <s v="Yes"/>
    <n v="30"/>
    <n v="30"/>
    <s v="Yes"/>
    <n v="20"/>
    <n v="3"/>
    <n v="62"/>
  </r>
  <r>
    <n v="3450"/>
    <s v="Helena Ferreira"/>
    <x v="2"/>
    <d v="2024-10-02T00:00:00"/>
    <x v="0"/>
    <n v="10"/>
    <x v="1"/>
    <s v="No"/>
    <m/>
    <s v=""/>
    <s v="Yes"/>
    <n v="20"/>
    <n v="15"/>
    <n v="15"/>
  </r>
  <r>
    <n v="3451"/>
    <s v="Ígor Nunes"/>
    <x v="1"/>
    <d v="2024-10-03T00:00:00"/>
    <x v="1"/>
    <n v="5"/>
    <x v="0"/>
    <s v="No"/>
    <m/>
    <s v=""/>
    <s v="No"/>
    <n v="0"/>
    <n v="1"/>
    <n v="4"/>
  </r>
  <r>
    <n v="3452"/>
    <s v="Joana Silveira"/>
    <x v="0"/>
    <d v="2024-10-04T00:00:00"/>
    <x v="0"/>
    <n v="15"/>
    <x v="2"/>
    <s v="Yes"/>
    <n v="30"/>
    <n v="30"/>
    <s v="Yes"/>
    <n v="20"/>
    <n v="7"/>
    <n v="58"/>
  </r>
  <r>
    <n v="3453"/>
    <s v="Kléber Oliveira"/>
    <x v="2"/>
    <d v="2024-10-05T00:00:00"/>
    <x v="1"/>
    <n v="10"/>
    <x v="0"/>
    <s v="No"/>
    <m/>
    <s v=""/>
    <s v="Yes"/>
    <n v="20"/>
    <n v="10"/>
    <n v="20"/>
  </r>
  <r>
    <n v="3454"/>
    <s v="Luciana Morais"/>
    <x v="1"/>
    <d v="2024-10-06T00:00:00"/>
    <x v="0"/>
    <n v="5"/>
    <x v="1"/>
    <s v="No"/>
    <m/>
    <s v=""/>
    <s v="No"/>
    <n v="0"/>
    <n v="0"/>
    <n v="5"/>
  </r>
  <r>
    <n v="3455"/>
    <s v="Marcos Vinícius"/>
    <x v="0"/>
    <d v="2024-10-07T00:00:00"/>
    <x v="1"/>
    <n v="15"/>
    <x v="0"/>
    <s v="Yes"/>
    <n v="30"/>
    <n v="30"/>
    <s v="Yes"/>
    <n v="20"/>
    <n v="20"/>
    <n v="45"/>
  </r>
  <r>
    <n v="3456"/>
    <s v="Natália Barros"/>
    <x v="2"/>
    <d v="2024-10-08T00:00:00"/>
    <x v="0"/>
    <n v="10"/>
    <x v="2"/>
    <s v="No"/>
    <m/>
    <s v=""/>
    <s v="Yes"/>
    <n v="20"/>
    <n v="15"/>
    <n v="15"/>
  </r>
  <r>
    <n v="3457"/>
    <s v="Oscar Sampaio"/>
    <x v="1"/>
    <d v="2024-10-09T00:00:00"/>
    <x v="1"/>
    <n v="5"/>
    <x v="0"/>
    <s v="No"/>
    <m/>
    <s v=""/>
    <s v="No"/>
    <n v="0"/>
    <n v="1"/>
    <n v="4"/>
  </r>
  <r>
    <n v="3458"/>
    <s v="Patrícia Leite"/>
    <x v="0"/>
    <d v="2024-10-10T00:00:00"/>
    <x v="0"/>
    <n v="15"/>
    <x v="1"/>
    <s v="Yes"/>
    <n v="30"/>
    <n v="30"/>
    <s v="Yes"/>
    <n v="20"/>
    <n v="3"/>
    <n v="62"/>
  </r>
  <r>
    <n v="3459"/>
    <s v="Quênia Rocha"/>
    <x v="2"/>
    <d v="2024-10-11T00:00:00"/>
    <x v="1"/>
    <n v="10"/>
    <x v="0"/>
    <s v="No"/>
    <m/>
    <s v=""/>
    <s v="Yes"/>
    <n v="20"/>
    <n v="10"/>
    <n v="20"/>
  </r>
  <r>
    <n v="3460"/>
    <s v="Rafael Torres"/>
    <x v="1"/>
    <d v="2024-10-12T00:00:00"/>
    <x v="0"/>
    <n v="5"/>
    <x v="2"/>
    <s v="No"/>
    <m/>
    <s v=""/>
    <s v="No"/>
    <n v="0"/>
    <n v="0"/>
    <n v="5"/>
  </r>
  <r>
    <n v="3461"/>
    <s v="Sandra Gouveia"/>
    <x v="0"/>
    <d v="2024-10-13T00:00:00"/>
    <x v="1"/>
    <n v="15"/>
    <x v="0"/>
    <s v="Yes"/>
    <n v="30"/>
    <n v="30"/>
    <s v="Yes"/>
    <n v="20"/>
    <n v="15"/>
    <n v="50"/>
  </r>
  <r>
    <n v="3462"/>
    <s v="Tiago Lacerda"/>
    <x v="2"/>
    <d v="2024-10-14T00:00:00"/>
    <x v="0"/>
    <n v="10"/>
    <x v="1"/>
    <s v="No"/>
    <m/>
    <s v=""/>
    <s v="Yes"/>
    <n v="20"/>
    <n v="15"/>
    <n v="15"/>
  </r>
  <r>
    <n v="3463"/>
    <s v="Ursula Fonseca"/>
    <x v="1"/>
    <d v="2024-10-15T00:00:00"/>
    <x v="1"/>
    <n v="5"/>
    <x v="0"/>
    <s v="No"/>
    <m/>
    <s v=""/>
    <s v="No"/>
    <n v="0"/>
    <n v="1"/>
    <n v="4"/>
  </r>
  <r>
    <n v="3464"/>
    <s v="Vanessa Andrade"/>
    <x v="0"/>
    <d v="2024-10-16T00:00:00"/>
    <x v="0"/>
    <n v="15"/>
    <x v="2"/>
    <s v="Yes"/>
    <n v="30"/>
    <n v="30"/>
    <s v="Yes"/>
    <n v="20"/>
    <n v="7"/>
    <n v="58"/>
  </r>
  <r>
    <n v="3465"/>
    <s v="William Castro"/>
    <x v="2"/>
    <d v="2024-10-17T00:00:00"/>
    <x v="1"/>
    <n v="10"/>
    <x v="0"/>
    <s v="No"/>
    <m/>
    <s v=""/>
    <s v="Yes"/>
    <n v="20"/>
    <n v="10"/>
    <n v="20"/>
  </r>
  <r>
    <n v="3466"/>
    <s v="Xavier Monteiro"/>
    <x v="1"/>
    <d v="2024-10-18T00:00:00"/>
    <x v="0"/>
    <n v="5"/>
    <x v="1"/>
    <s v="No"/>
    <m/>
    <s v=""/>
    <s v="No"/>
    <n v="0"/>
    <n v="0"/>
    <n v="5"/>
  </r>
  <r>
    <n v="3467"/>
    <s v="Yasmin Figueira"/>
    <x v="0"/>
    <d v="2024-10-19T00:00:00"/>
    <x v="1"/>
    <n v="15"/>
    <x v="0"/>
    <s v="Yes"/>
    <n v="30"/>
    <n v="30"/>
    <s v="Yes"/>
    <n v="20"/>
    <n v="15"/>
    <n v="50"/>
  </r>
  <r>
    <n v="3468"/>
    <s v="Zacarias Mendonça"/>
    <x v="2"/>
    <d v="2024-10-20T00:00:00"/>
    <x v="0"/>
    <n v="10"/>
    <x v="2"/>
    <s v="No"/>
    <m/>
    <s v=""/>
    <s v="Yes"/>
    <n v="20"/>
    <n v="12"/>
    <n v="18"/>
  </r>
  <r>
    <n v="3469"/>
    <s v="Amanda Menezes"/>
    <x v="1"/>
    <d v="2024-10-21T00:00:00"/>
    <x v="1"/>
    <n v="5"/>
    <x v="0"/>
    <s v="No"/>
    <m/>
    <s v=""/>
    <s v="No"/>
    <n v="0"/>
    <n v="2"/>
    <n v="3"/>
  </r>
  <r>
    <n v="3470"/>
    <s v="Bruno Santos"/>
    <x v="0"/>
    <d v="2024-10-22T00:00:00"/>
    <x v="0"/>
    <n v="15"/>
    <x v="1"/>
    <s v="Yes"/>
    <n v="30"/>
    <n v="30"/>
    <s v="Yes"/>
    <n v="20"/>
    <n v="5"/>
    <n v="60"/>
  </r>
  <r>
    <n v="3471"/>
    <s v="Carla Ferreira"/>
    <x v="2"/>
    <d v="2024-10-23T00:00:00"/>
    <x v="1"/>
    <n v="10"/>
    <x v="0"/>
    <s v="No"/>
    <m/>
    <s v=""/>
    <s v="Yes"/>
    <n v="20"/>
    <n v="10"/>
    <n v="20"/>
  </r>
  <r>
    <n v="3472"/>
    <s v="Diogo Alves"/>
    <x v="1"/>
    <d v="2024-10-24T00:00:00"/>
    <x v="0"/>
    <n v="5"/>
    <x v="2"/>
    <s v="No"/>
    <m/>
    <s v=""/>
    <s v="No"/>
    <n v="0"/>
    <n v="0"/>
    <n v="5"/>
  </r>
  <r>
    <n v="3473"/>
    <s v="Elisa Neves"/>
    <x v="0"/>
    <d v="2024-10-25T00:00:00"/>
    <x v="1"/>
    <n v="15"/>
    <x v="0"/>
    <s v="Yes"/>
    <n v="30"/>
    <n v="30"/>
    <s v="Yes"/>
    <n v="20"/>
    <n v="3"/>
    <n v="62"/>
  </r>
  <r>
    <n v="3474"/>
    <s v="Fabiano Pires"/>
    <x v="2"/>
    <d v="2024-10-26T00:00:00"/>
    <x v="0"/>
    <n v="10"/>
    <x v="1"/>
    <s v="No"/>
    <m/>
    <s v=""/>
    <s v="Yes"/>
    <n v="20"/>
    <n v="15"/>
    <n v="15"/>
  </r>
  <r>
    <n v="3475"/>
    <s v="Giovana Ribeiro"/>
    <x v="1"/>
    <d v="2024-10-27T00:00:00"/>
    <x v="1"/>
    <n v="5"/>
    <x v="0"/>
    <s v="No"/>
    <m/>
    <s v=""/>
    <s v="No"/>
    <n v="0"/>
    <n v="1"/>
    <n v="4"/>
  </r>
  <r>
    <n v="3476"/>
    <s v="Hélio Costa"/>
    <x v="0"/>
    <d v="2024-10-28T00:00:00"/>
    <x v="0"/>
    <n v="15"/>
    <x v="2"/>
    <s v="Yes"/>
    <n v="30"/>
    <n v="30"/>
    <s v="Yes"/>
    <n v="20"/>
    <n v="7"/>
    <n v="58"/>
  </r>
  <r>
    <n v="3477"/>
    <s v="Íris Loureiro"/>
    <x v="2"/>
    <d v="2024-10-29T00:00:00"/>
    <x v="1"/>
    <n v="10"/>
    <x v="0"/>
    <s v="No"/>
    <m/>
    <s v=""/>
    <s v="Yes"/>
    <n v="20"/>
    <n v="10"/>
    <n v="20"/>
  </r>
  <r>
    <n v="3478"/>
    <s v="João Pereira"/>
    <x v="1"/>
    <d v="2024-10-30T00:00:00"/>
    <x v="0"/>
    <n v="5"/>
    <x v="1"/>
    <s v="No"/>
    <m/>
    <s v=""/>
    <s v="No"/>
    <n v="0"/>
    <n v="0"/>
    <n v="5"/>
  </r>
  <r>
    <n v="3479"/>
    <s v="Klara Silva"/>
    <x v="0"/>
    <d v="2024-10-31T00:00:00"/>
    <x v="1"/>
    <n v="15"/>
    <x v="0"/>
    <s v="Yes"/>
    <n v="30"/>
    <n v="30"/>
    <s v="Yes"/>
    <n v="20"/>
    <n v="20"/>
    <n v="45"/>
  </r>
  <r>
    <n v="3480"/>
    <s v="Luciana Barros"/>
    <x v="2"/>
    <d v="2024-11-01T00:00:00"/>
    <x v="0"/>
    <n v="10"/>
    <x v="2"/>
    <s v="No"/>
    <m/>
    <s v=""/>
    <s v="Yes"/>
    <n v="20"/>
    <n v="15"/>
    <n v="15"/>
  </r>
  <r>
    <n v="3481"/>
    <s v="Marcos Gomes"/>
    <x v="1"/>
    <d v="2024-11-02T00:00:00"/>
    <x v="1"/>
    <n v="5"/>
    <x v="0"/>
    <s v="No"/>
    <m/>
    <s v=""/>
    <s v="No"/>
    <n v="0"/>
    <n v="1"/>
    <n v="4"/>
  </r>
  <r>
    <n v="3482"/>
    <s v="Natália Soares"/>
    <x v="0"/>
    <d v="2024-11-03T00:00:00"/>
    <x v="0"/>
    <n v="15"/>
    <x v="1"/>
    <s v="Yes"/>
    <n v="30"/>
    <n v="30"/>
    <s v="Yes"/>
    <n v="20"/>
    <n v="3"/>
    <n v="62"/>
  </r>
  <r>
    <n v="3483"/>
    <s v="Oscar Machado"/>
    <x v="2"/>
    <d v="2024-11-04T00:00:00"/>
    <x v="1"/>
    <n v="10"/>
    <x v="0"/>
    <s v="No"/>
    <m/>
    <s v=""/>
    <s v="Yes"/>
    <n v="20"/>
    <n v="10"/>
    <n v="20"/>
  </r>
  <r>
    <n v="3484"/>
    <s v="Patrícia Lima"/>
    <x v="1"/>
    <d v="2024-11-05T00:00:00"/>
    <x v="0"/>
    <n v="5"/>
    <x v="2"/>
    <s v="No"/>
    <m/>
    <s v=""/>
    <s v="No"/>
    <n v="0"/>
    <n v="0"/>
    <n v="5"/>
  </r>
  <r>
    <n v="3485"/>
    <s v="Quirino Neto"/>
    <x v="0"/>
    <d v="2024-11-06T00:00:00"/>
    <x v="1"/>
    <n v="15"/>
    <x v="0"/>
    <s v="Yes"/>
    <n v="30"/>
    <n v="30"/>
    <s v="Yes"/>
    <n v="20"/>
    <n v="15"/>
    <n v="50"/>
  </r>
  <r>
    <n v="3486"/>
    <s v="Rafaela Souza"/>
    <x v="1"/>
    <d v="2024-11-07T00:00:00"/>
    <x v="0"/>
    <n v="5"/>
    <x v="0"/>
    <s v="No"/>
    <m/>
    <s v=""/>
    <s v="No"/>
    <n v="0"/>
    <n v="0"/>
    <n v="5"/>
  </r>
  <r>
    <n v="3487"/>
    <s v="Sandro Almeida"/>
    <x v="0"/>
    <d v="2024-11-08T00:00:00"/>
    <x v="1"/>
    <n v="15"/>
    <x v="2"/>
    <s v="Yes"/>
    <n v="30"/>
    <n v="30"/>
    <s v="Yes"/>
    <n v="20"/>
    <n v="7"/>
    <n v="58"/>
  </r>
  <r>
    <n v="3488"/>
    <s v="Tânia Ribeiro"/>
    <x v="2"/>
    <d v="2024-11-09T00:00:00"/>
    <x v="0"/>
    <n v="10"/>
    <x v="1"/>
    <s v="No"/>
    <m/>
    <s v=""/>
    <s v="Yes"/>
    <n v="20"/>
    <n v="10"/>
    <n v="20"/>
  </r>
  <r>
    <n v="3489"/>
    <s v="Ugo Dias"/>
    <x v="1"/>
    <d v="2024-11-10T00:00:00"/>
    <x v="1"/>
    <n v="5"/>
    <x v="2"/>
    <s v="No"/>
    <m/>
    <s v=""/>
    <s v="No"/>
    <n v="0"/>
    <n v="1"/>
    <n v="4"/>
  </r>
  <r>
    <n v="3490"/>
    <s v="Valéria Lima"/>
    <x v="0"/>
    <d v="2024-11-11T00:00:00"/>
    <x v="0"/>
    <n v="15"/>
    <x v="0"/>
    <s v="Yes"/>
    <n v="30"/>
    <n v="30"/>
    <s v="Yes"/>
    <n v="20"/>
    <n v="15"/>
    <n v="50"/>
  </r>
  <r>
    <n v="3491"/>
    <s v="William Fernandes"/>
    <x v="2"/>
    <d v="2024-11-12T00:00:00"/>
    <x v="1"/>
    <n v="10"/>
    <x v="0"/>
    <s v="No"/>
    <m/>
    <s v=""/>
    <s v="Yes"/>
    <n v="20"/>
    <n v="5"/>
    <n v="25"/>
  </r>
  <r>
    <n v="3492"/>
    <s v="Xuxa Mendes"/>
    <x v="1"/>
    <d v="2024-11-13T00:00:00"/>
    <x v="0"/>
    <n v="5"/>
    <x v="1"/>
    <s v="No"/>
    <m/>
    <s v=""/>
    <s v="No"/>
    <n v="0"/>
    <n v="0"/>
    <n v="5"/>
  </r>
  <r>
    <n v="3493"/>
    <s v="Ygor Farias"/>
    <x v="0"/>
    <d v="2024-11-14T00:00:00"/>
    <x v="1"/>
    <n v="15"/>
    <x v="2"/>
    <s v="Yes"/>
    <n v="30"/>
    <n v="30"/>
    <s v="Yes"/>
    <n v="20"/>
    <n v="20"/>
    <n v="45"/>
  </r>
  <r>
    <n v="3494"/>
    <s v="Zilda Barros"/>
    <x v="2"/>
    <d v="2024-11-15T00:00:00"/>
    <x v="0"/>
    <n v="10"/>
    <x v="2"/>
    <s v="No"/>
    <m/>
    <s v=""/>
    <s v="Yes"/>
    <n v="20"/>
    <n v="12"/>
    <n v="18"/>
  </r>
  <r>
    <n v="3495"/>
    <s v="Amanda Santos"/>
    <x v="1"/>
    <d v="2024-11-16T00:00:00"/>
    <x v="1"/>
    <n v="5"/>
    <x v="0"/>
    <s v="No"/>
    <m/>
    <s v=""/>
    <s v="No"/>
    <n v="0"/>
    <n v="2"/>
    <n v="3"/>
  </r>
  <r>
    <n v="3496"/>
    <s v="Bruno Costa"/>
    <x v="0"/>
    <d v="2024-11-17T00:00:00"/>
    <x v="0"/>
    <n v="15"/>
    <x v="1"/>
    <s v="Yes"/>
    <n v="30"/>
    <n v="30"/>
    <s v="Yes"/>
    <n v="20"/>
    <n v="5"/>
    <n v="60"/>
  </r>
  <r>
    <n v="3497"/>
    <s v="Carla Rodrigues"/>
    <x v="2"/>
    <d v="2024-11-18T00:00:00"/>
    <x v="1"/>
    <n v="10"/>
    <x v="0"/>
    <s v="No"/>
    <m/>
    <s v=""/>
    <s v="Yes"/>
    <n v="20"/>
    <n v="10"/>
    <n v="20"/>
  </r>
  <r>
    <n v="3498"/>
    <s v="Diogo Pereira"/>
    <x v="1"/>
    <d v="2024-11-19T00:00:00"/>
    <x v="0"/>
    <n v="5"/>
    <x v="2"/>
    <s v="No"/>
    <m/>
    <s v=""/>
    <s v="No"/>
    <n v="0"/>
    <n v="0"/>
    <n v="5"/>
  </r>
  <r>
    <n v="3499"/>
    <s v="Elisa Correia"/>
    <x v="0"/>
    <d v="2024-11-20T00:00:00"/>
    <x v="1"/>
    <n v="15"/>
    <x v="0"/>
    <s v="Yes"/>
    <n v="30"/>
    <n v="30"/>
    <s v="Yes"/>
    <n v="20"/>
    <n v="3"/>
    <n v="62"/>
  </r>
  <r>
    <n v="3500"/>
    <s v="Fábio Lourenço"/>
    <x v="2"/>
    <d v="2024-11-21T00:00:00"/>
    <x v="0"/>
    <n v="10"/>
    <x v="1"/>
    <s v="No"/>
    <m/>
    <s v=""/>
    <s v="Yes"/>
    <n v="20"/>
    <n v="15"/>
    <n v="15"/>
  </r>
  <r>
    <n v="3501"/>
    <s v="Gabriela Neves"/>
    <x v="1"/>
    <d v="2024-11-22T00:00:00"/>
    <x v="1"/>
    <n v="5"/>
    <x v="0"/>
    <s v="No"/>
    <m/>
    <s v=""/>
    <s v="No"/>
    <n v="0"/>
    <n v="1"/>
    <n v="4"/>
  </r>
  <r>
    <n v="3502"/>
    <s v="Henrique Gonçalves"/>
    <x v="0"/>
    <d v="2024-11-23T00:00:00"/>
    <x v="0"/>
    <n v="15"/>
    <x v="2"/>
    <s v="Yes"/>
    <n v="30"/>
    <n v="30"/>
    <s v="Yes"/>
    <n v="20"/>
    <n v="7"/>
    <n v="58"/>
  </r>
  <r>
    <n v="3503"/>
    <s v="Íris Santos"/>
    <x v="2"/>
    <d v="2024-11-24T00:00:00"/>
    <x v="1"/>
    <n v="10"/>
    <x v="0"/>
    <s v="No"/>
    <m/>
    <s v=""/>
    <s v="Yes"/>
    <n v="20"/>
    <n v="10"/>
    <n v="20"/>
  </r>
  <r>
    <n v="3504"/>
    <s v="João Marcelo Alves"/>
    <x v="1"/>
    <d v="2024-11-25T00:00:00"/>
    <x v="0"/>
    <n v="5"/>
    <x v="1"/>
    <s v="No"/>
    <m/>
    <s v=""/>
    <s v="No"/>
    <n v="0"/>
    <n v="0"/>
    <n v="5"/>
  </r>
  <r>
    <n v="3505"/>
    <s v="Klara Fonseca"/>
    <x v="0"/>
    <d v="2024-11-26T00:00:00"/>
    <x v="1"/>
    <n v="15"/>
    <x v="0"/>
    <s v="Yes"/>
    <n v="30"/>
    <n v="30"/>
    <s v="Yes"/>
    <n v="20"/>
    <n v="20"/>
    <n v="45"/>
  </r>
  <r>
    <n v="3506"/>
    <s v="Lucas Mendonça"/>
    <x v="2"/>
    <d v="2024-11-27T00:00:00"/>
    <x v="0"/>
    <n v="10"/>
    <x v="2"/>
    <s v="No"/>
    <m/>
    <s v=""/>
    <s v="Yes"/>
    <n v="20"/>
    <n v="15"/>
    <n v="15"/>
  </r>
  <r>
    <n v="3507"/>
    <s v="Marcela Torres"/>
    <x v="1"/>
    <d v="2024-11-28T00:00:00"/>
    <x v="1"/>
    <n v="5"/>
    <x v="0"/>
    <s v="No"/>
    <m/>
    <s v=""/>
    <s v="No"/>
    <n v="0"/>
    <n v="1"/>
    <n v="4"/>
  </r>
  <r>
    <n v="3508"/>
    <s v="Natália Castro"/>
    <x v="0"/>
    <d v="2024-11-29T00:00:00"/>
    <x v="0"/>
    <n v="15"/>
    <x v="1"/>
    <s v="Yes"/>
    <n v="30"/>
    <n v="30"/>
    <s v="Yes"/>
    <n v="20"/>
    <n v="3"/>
    <n v="62"/>
  </r>
  <r>
    <n v="3509"/>
    <s v="Oscar Martins"/>
    <x v="2"/>
    <d v="2024-11-30T00:00:00"/>
    <x v="1"/>
    <n v="10"/>
    <x v="0"/>
    <s v="No"/>
    <m/>
    <s v=""/>
    <s v="Yes"/>
    <n v="20"/>
    <n v="10"/>
    <n v="20"/>
  </r>
  <r>
    <n v="3510"/>
    <s v="Patrícia Oliveira"/>
    <x v="1"/>
    <d v="2024-12-01T00:00:00"/>
    <x v="0"/>
    <n v="5"/>
    <x v="2"/>
    <s v="No"/>
    <m/>
    <s v=""/>
    <s v="No"/>
    <n v="0"/>
    <n v="0"/>
    <n v="5"/>
  </r>
  <r>
    <n v="3511"/>
    <s v="Quentin Nogueira"/>
    <x v="0"/>
    <d v="2024-12-02T00:00:00"/>
    <x v="1"/>
    <n v="15"/>
    <x v="0"/>
    <s v="Yes"/>
    <n v="30"/>
    <n v="30"/>
    <s v="Yes"/>
    <n v="20"/>
    <n v="15"/>
    <n v="50"/>
  </r>
  <r>
    <n v="3512"/>
    <s v="Raquel Silva"/>
    <x v="2"/>
    <d v="2024-12-03T00:00:00"/>
    <x v="0"/>
    <n v="10"/>
    <x v="1"/>
    <s v="No"/>
    <m/>
    <s v=""/>
    <s v="Yes"/>
    <n v="20"/>
    <n v="15"/>
    <n v="15"/>
  </r>
  <r>
    <n v="3513"/>
    <s v="Sandro Gomes"/>
    <x v="1"/>
    <d v="2024-12-04T00:00:00"/>
    <x v="1"/>
    <n v="5"/>
    <x v="0"/>
    <s v="No"/>
    <m/>
    <s v=""/>
    <s v="No"/>
    <n v="0"/>
    <n v="1"/>
    <n v="4"/>
  </r>
  <r>
    <n v="3514"/>
    <s v="Tânia Machado"/>
    <x v="0"/>
    <d v="2024-12-05T00:00:00"/>
    <x v="0"/>
    <n v="15"/>
    <x v="2"/>
    <s v="Yes"/>
    <n v="30"/>
    <n v="30"/>
    <s v="Yes"/>
    <n v="20"/>
    <n v="7"/>
    <n v="58"/>
  </r>
  <r>
    <n v="3515"/>
    <s v="Ursula Silva"/>
    <x v="2"/>
    <d v="2024-12-06T00:00:00"/>
    <x v="1"/>
    <n v="10"/>
    <x v="0"/>
    <s v="No"/>
    <m/>
    <s v=""/>
    <s v="Yes"/>
    <n v="20"/>
    <n v="10"/>
    <n v="20"/>
  </r>
  <r>
    <n v="3516"/>
    <s v="Vanessa Moraes"/>
    <x v="1"/>
    <d v="2024-12-07T00:00:00"/>
    <x v="0"/>
    <n v="5"/>
    <x v="1"/>
    <s v="No"/>
    <m/>
    <s v=""/>
    <s v="No"/>
    <n v="0"/>
    <n v="0"/>
    <n v="5"/>
  </r>
  <r>
    <n v="3517"/>
    <s v="William Carvalho"/>
    <x v="0"/>
    <d v="2024-12-08T00:00:00"/>
    <x v="1"/>
    <n v="15"/>
    <x v="0"/>
    <s v="Yes"/>
    <n v="30"/>
    <n v="30"/>
    <s v="Yes"/>
    <n v="20"/>
    <n v="20"/>
    <n v="45"/>
  </r>
  <r>
    <n v="3518"/>
    <s v="Xavier Reis"/>
    <x v="2"/>
    <d v="2024-12-09T00:00:00"/>
    <x v="0"/>
    <n v="10"/>
    <x v="2"/>
    <s v="No"/>
    <m/>
    <s v=""/>
    <s v="Yes"/>
    <n v="20"/>
    <n v="12"/>
    <n v="18"/>
  </r>
  <r>
    <n v="3519"/>
    <s v="Yasmin Rocha"/>
    <x v="1"/>
    <d v="2024-12-10T00:00:00"/>
    <x v="1"/>
    <n v="5"/>
    <x v="0"/>
    <s v="No"/>
    <m/>
    <s v=""/>
    <s v="No"/>
    <n v="0"/>
    <n v="2"/>
    <n v="3"/>
  </r>
  <r>
    <n v="3520"/>
    <s v="Zacarias Duarte"/>
    <x v="0"/>
    <d v="2024-12-11T00:00:00"/>
    <x v="0"/>
    <n v="15"/>
    <x v="1"/>
    <s v="Yes"/>
    <n v="30"/>
    <n v="30"/>
    <s v="Yes"/>
    <n v="20"/>
    <n v="5"/>
    <n v="60"/>
  </r>
  <r>
    <n v="3521"/>
    <s v="Amanda Freitas"/>
    <x v="2"/>
    <d v="2024-12-12T00:00:00"/>
    <x v="1"/>
    <n v="10"/>
    <x v="0"/>
    <s v="No"/>
    <m/>
    <s v=""/>
    <s v="Yes"/>
    <n v="20"/>
    <n v="10"/>
    <n v="20"/>
  </r>
  <r>
    <n v="3522"/>
    <s v="Bruno Almeida"/>
    <x v="1"/>
    <d v="2024-12-13T00:00:00"/>
    <x v="0"/>
    <n v="5"/>
    <x v="2"/>
    <s v="No"/>
    <m/>
    <s v=""/>
    <s v="No"/>
    <n v="0"/>
    <n v="0"/>
    <n v="5"/>
  </r>
  <r>
    <n v="3523"/>
    <s v="Carla Siqueira"/>
    <x v="0"/>
    <d v="2024-12-14T00:00:00"/>
    <x v="1"/>
    <n v="15"/>
    <x v="0"/>
    <s v="Yes"/>
    <n v="30"/>
    <n v="30"/>
    <s v="Yes"/>
    <n v="20"/>
    <n v="3"/>
    <n v="62"/>
  </r>
  <r>
    <n v="3524"/>
    <s v="Diogo Ramos"/>
    <x v="2"/>
    <d v="2024-12-15T00:00:00"/>
    <x v="0"/>
    <n v="10"/>
    <x v="1"/>
    <s v="No"/>
    <m/>
    <s v=""/>
    <s v="Yes"/>
    <n v="20"/>
    <n v="15"/>
    <n v="15"/>
  </r>
  <r>
    <n v="3525"/>
    <s v="Elisa Magalhães"/>
    <x v="1"/>
    <d v="2024-12-16T00:00:00"/>
    <x v="1"/>
    <n v="5"/>
    <x v="0"/>
    <s v="No"/>
    <m/>
    <s v=""/>
    <s v="No"/>
    <n v="0"/>
    <n v="1"/>
    <n v="4"/>
  </r>
  <r>
    <m/>
    <m/>
    <x v="3"/>
    <m/>
    <x v="2"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CC397-0FB6-48F5-8305-8949633B19E7}" name="Tabela dinâmica4" cacheId="1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3:B27" firstHeaderRow="1" firstDataRow="1" firstDataCol="1" rowPageCount="1" colPageCount="1"/>
  <pivotFields count="14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axis="axisPage" multipleItemSelectionAllowed="1" showAll="0">
      <items count="5">
        <item h="1" x="1"/>
        <item x="0"/>
        <item h="1" x="2"/>
        <item h="1"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141DF-9451-41F8-AADF-61D8E79CE2BA}" name="Tabela dinâmica3" cacheId="1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5:B8" firstHeaderRow="1" firstDataRow="1" firstDataCol="1" rowPageCount="1" colPageCount="1"/>
  <pivotFields count="14"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h="1" x="1"/>
        <item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3" baseField="0" baseItem="0" numFmtId="44"/>
  </dataFields>
  <formats count="1">
    <format dxfId="27">
      <pivotArea outline="0" collapsedLevelsAreSubtotals="1" fieldPosition="0"/>
    </format>
  </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DBCB6-C93C-4B58-8E31-A8E9A6CC741D}" name="tbl_eaplay_total" cacheId="1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B18" firstHeaderRow="1" firstDataRow="1" firstDataCol="1" rowPageCount="1" colPageCount="1"/>
  <pivotFields count="14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axis="axisPage" multipleItemSelectionAllowed="1" showAll="0">
      <items count="5">
        <item h="1" x="1"/>
        <item x="0"/>
        <item h="1"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9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6C220EC-E8A1-4707-A2F6-C9FE0AD540BB}" sourceName="Subscription Type">
  <pivotTables>
    <pivotTable tabId="3" name="Tabela dinâmica3"/>
    <pivotTable tabId="3" name="tbl_eaplay_total"/>
    <pivotTable tabId="3" name="Tabela dinâmica4"/>
  </pivotTables>
  <data>
    <tabular pivotCacheId="1210291426">
      <items count="4">
        <i x="1"/>
        <i x="0" s="1"/>
        <i x="2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7FF9C44-F8B9-4808-9E02-E4BECCE2085D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42">
  <autoFilter ref="A1:N296" xr:uid="{34E0E886-4200-4B36-97B3-63DB74FF40A0}"/>
  <tableColumns count="14">
    <tableColumn id="1" xr3:uid="{C4A90516-688A-46BF-9167-EA16C2A8A652}" name="Subscriber ID" dataDxfId="41"/>
    <tableColumn id="2" xr3:uid="{53DD39D0-2220-4121-9E9D-4EAA7E151C0F}" name="Name" dataDxfId="40"/>
    <tableColumn id="3" xr3:uid="{4F5FF271-4C57-4BE0-8F2C-F82C8551625C}" name="Plan" dataDxfId="39"/>
    <tableColumn id="4" xr3:uid="{8C17EB93-79B9-4E55-B8F7-BEB82F8253E9}" name="Start Date" dataDxfId="38"/>
    <tableColumn id="5" xr3:uid="{48CEDF9B-1689-482A-A828-5CCE7713264A}" name="Auto Renewal" dataDxfId="37"/>
    <tableColumn id="6" xr3:uid="{78B82374-9AA7-4E38-AE4F-78CDE6C83720}" name="Subscription Price" dataDxfId="36" dataCellStyle="Moeda"/>
    <tableColumn id="7" xr3:uid="{F2433F68-AF33-49D0-B1FB-19A396074EDE}" name="Subscription Type" dataDxfId="35"/>
    <tableColumn id="8" xr3:uid="{FD4D9C95-F6E5-4933-9068-A71FF7DF9343}" name="EA Play Season Pass" dataDxfId="31"/>
    <tableColumn id="13" xr3:uid="{978DD0D2-834E-4CE4-A39B-30976086932F}" name="EA Play Season Pass_x000a_Price" dataDxfId="29" dataCellStyle="Moeda"/>
    <tableColumn id="14" xr3:uid="{AF7A5FA7-F1DE-40F4-B76D-05669B75AC65}" name="EA Play Season Pass_x000a_Price ( Num)" dataDxfId="28" dataCellStyle="Moeda">
      <calculatedColumnFormula>IF(I2="","",VALUE(I2))</calculatedColumnFormula>
    </tableColumn>
    <tableColumn id="9" xr3:uid="{6E29F111-C395-4580-9DAD-3407D9E8B1A4}" name="Minecraft Season Pass" dataDxfId="30"/>
    <tableColumn id="10" xr3:uid="{EF544EAA-7F25-4FD5-A10E-8E62804DB9E3}" name="Minecraft Season Pass Price" dataDxfId="34" dataCellStyle="Moeda"/>
    <tableColumn id="11" xr3:uid="{7F6EB64A-1F07-4E48-9F0F-AC7D9DCD26F8}" name="Coupon Value" dataDxfId="33" dataCellStyle="Moeda"/>
    <tableColumn id="12" xr3:uid="{2B04ABC8-DE6F-426E-ADC0-D8AFC68CA58E}" name="Total Value" dataDxfId="3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6" zoomScaleNormal="100" workbookViewId="0">
      <selection activeCell="W17" sqref="W1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D27"/>
  <sheetViews>
    <sheetView showGridLines="0" topLeftCell="A11" workbookViewId="0">
      <selection activeCell="W17" sqref="W17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4.28515625" bestFit="1" customWidth="1"/>
    <col min="4" max="4" width="10.7109375" bestFit="1" customWidth="1"/>
    <col min="5" max="5" width="8.28515625" bestFit="1" customWidth="1"/>
    <col min="6" max="6" width="7.28515625" bestFit="1" customWidth="1"/>
    <col min="7" max="7" width="8.28515625" bestFit="1" customWidth="1"/>
    <col min="8" max="8" width="7.28515625" bestFit="1" customWidth="1"/>
    <col min="9" max="10" width="8.28515625" bestFit="1" customWidth="1"/>
    <col min="11" max="11" width="7.28515625" bestFit="1" customWidth="1"/>
    <col min="12" max="12" width="10.7109375" bestFit="1" customWidth="1"/>
    <col min="13" max="15" width="9.7109375" bestFit="1" customWidth="1"/>
    <col min="16" max="16" width="15.5703125" bestFit="1" customWidth="1"/>
    <col min="17" max="17" width="12.140625" bestFit="1" customWidth="1"/>
  </cols>
  <sheetData>
    <row r="2" spans="1:2" x14ac:dyDescent="0.25">
      <c r="A2" s="13"/>
      <c r="B2" s="14"/>
    </row>
    <row r="3" spans="1:2" x14ac:dyDescent="0.25">
      <c r="A3" s="12" t="s">
        <v>16</v>
      </c>
      <c r="B3" t="s">
        <v>20</v>
      </c>
    </row>
    <row r="5" spans="1:2" x14ac:dyDescent="0.25">
      <c r="A5" s="12" t="s">
        <v>312</v>
      </c>
      <c r="B5" t="s">
        <v>314</v>
      </c>
    </row>
    <row r="6" spans="1:2" x14ac:dyDescent="0.25">
      <c r="A6" s="13" t="s">
        <v>23</v>
      </c>
      <c r="B6" s="18">
        <v>2824</v>
      </c>
    </row>
    <row r="7" spans="1:2" x14ac:dyDescent="0.25">
      <c r="A7" s="13" t="s">
        <v>19</v>
      </c>
      <c r="B7" s="18">
        <v>747</v>
      </c>
    </row>
    <row r="8" spans="1:2" x14ac:dyDescent="0.25">
      <c r="A8" s="13" t="s">
        <v>313</v>
      </c>
      <c r="B8" s="18">
        <v>3571</v>
      </c>
    </row>
    <row r="11" spans="1:2" x14ac:dyDescent="0.25">
      <c r="A11" s="13"/>
      <c r="B11" s="19"/>
    </row>
    <row r="12" spans="1:2" x14ac:dyDescent="0.25">
      <c r="A12" s="12" t="s">
        <v>16</v>
      </c>
      <c r="B12" t="s">
        <v>20</v>
      </c>
    </row>
    <row r="14" spans="1:2" ht="14.25" customHeight="1" x14ac:dyDescent="0.25">
      <c r="A14" s="12" t="s">
        <v>312</v>
      </c>
      <c r="B14" t="s">
        <v>318</v>
      </c>
    </row>
    <row r="15" spans="1:2" x14ac:dyDescent="0.25">
      <c r="A15" s="13" t="s">
        <v>22</v>
      </c>
      <c r="B15" s="19">
        <v>0</v>
      </c>
    </row>
    <row r="16" spans="1:2" x14ac:dyDescent="0.25">
      <c r="A16" s="13" t="s">
        <v>26</v>
      </c>
      <c r="B16" s="19">
        <v>0</v>
      </c>
    </row>
    <row r="17" spans="1:4" x14ac:dyDescent="0.25">
      <c r="A17" s="13" t="s">
        <v>18</v>
      </c>
      <c r="B17" s="19">
        <v>1350</v>
      </c>
    </row>
    <row r="18" spans="1:4" x14ac:dyDescent="0.25">
      <c r="A18" s="13" t="s">
        <v>313</v>
      </c>
      <c r="B18" s="19">
        <v>1350</v>
      </c>
    </row>
    <row r="19" spans="1:4" x14ac:dyDescent="0.25">
      <c r="D19" s="14">
        <f>GETPIVOTDATA("EA Play Season Pass
Price ( Num)",$A$14)</f>
        <v>1350</v>
      </c>
    </row>
    <row r="21" spans="1:4" x14ac:dyDescent="0.25">
      <c r="A21" s="12" t="s">
        <v>16</v>
      </c>
      <c r="B21" t="s">
        <v>20</v>
      </c>
    </row>
    <row r="23" spans="1:4" x14ac:dyDescent="0.25">
      <c r="A23" s="12" t="s">
        <v>312</v>
      </c>
      <c r="B23" t="s">
        <v>316</v>
      </c>
    </row>
    <row r="24" spans="1:4" x14ac:dyDescent="0.25">
      <c r="A24" s="13" t="s">
        <v>22</v>
      </c>
      <c r="B24" s="19">
        <v>0</v>
      </c>
    </row>
    <row r="25" spans="1:4" x14ac:dyDescent="0.25">
      <c r="A25" s="13" t="s">
        <v>26</v>
      </c>
      <c r="B25" s="19">
        <v>900</v>
      </c>
    </row>
    <row r="26" spans="1:4" x14ac:dyDescent="0.25">
      <c r="A26" s="13" t="s">
        <v>18</v>
      </c>
      <c r="B26" s="19">
        <v>900</v>
      </c>
    </row>
    <row r="27" spans="1:4" x14ac:dyDescent="0.25">
      <c r="A27" s="13" t="s">
        <v>313</v>
      </c>
      <c r="B27" s="19">
        <v>1800</v>
      </c>
      <c r="D27" s="14">
        <f>GETPIVOTDATA("Minecraft Season Pass Price",$A$23)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zoomScale="90" zoomScaleNormal="90" workbookViewId="0">
      <selection activeCell="I7" sqref="I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10" width="19.5703125" style="14" customWidth="1"/>
    <col min="11" max="11" width="16.7109375" bestFit="1" customWidth="1"/>
    <col min="12" max="12" width="21.28515625" bestFit="1" customWidth="1"/>
    <col min="13" max="13" width="12.7109375" bestFit="1" customWidth="1"/>
    <col min="14" max="14" width="10.5703125" bestFit="1" customWidth="1"/>
  </cols>
  <sheetData>
    <row r="1" spans="1:14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311</v>
      </c>
      <c r="G1" s="9" t="s">
        <v>16</v>
      </c>
      <c r="H1" s="9" t="s">
        <v>309</v>
      </c>
      <c r="I1" s="20" t="s">
        <v>310</v>
      </c>
      <c r="J1" s="20" t="s">
        <v>317</v>
      </c>
      <c r="K1" s="9" t="s">
        <v>30</v>
      </c>
      <c r="L1" s="9" t="s">
        <v>31</v>
      </c>
      <c r="M1" s="9" t="s">
        <v>32</v>
      </c>
      <c r="N1" s="9" t="s">
        <v>33</v>
      </c>
    </row>
    <row r="2" spans="1:14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21">
        <v>30</v>
      </c>
      <c r="J2" s="21">
        <f t="shared" ref="J2:J65" si="0">IF(I2="","",VALUE(I2))</f>
        <v>30</v>
      </c>
      <c r="K2" s="8" t="s">
        <v>19</v>
      </c>
      <c r="L2" s="11">
        <v>20</v>
      </c>
      <c r="M2" s="11">
        <v>5</v>
      </c>
      <c r="N2" s="11">
        <v>60</v>
      </c>
    </row>
    <row r="3" spans="1:14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21"/>
      <c r="J3" s="21" t="str">
        <f t="shared" si="0"/>
        <v/>
      </c>
      <c r="K3" s="8" t="s">
        <v>23</v>
      </c>
      <c r="L3" s="11">
        <v>0</v>
      </c>
      <c r="M3" s="11">
        <v>0</v>
      </c>
      <c r="N3" s="11">
        <v>5</v>
      </c>
    </row>
    <row r="4" spans="1:14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21"/>
      <c r="J4" s="21" t="str">
        <f t="shared" si="0"/>
        <v/>
      </c>
      <c r="K4" s="8" t="s">
        <v>19</v>
      </c>
      <c r="L4" s="11">
        <v>20</v>
      </c>
      <c r="M4" s="11">
        <v>10</v>
      </c>
      <c r="N4" s="11">
        <v>20</v>
      </c>
    </row>
    <row r="5" spans="1:14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21">
        <v>30</v>
      </c>
      <c r="J5" s="21">
        <f t="shared" si="0"/>
        <v>30</v>
      </c>
      <c r="K5" s="8" t="s">
        <v>19</v>
      </c>
      <c r="L5" s="11">
        <v>20</v>
      </c>
      <c r="M5" s="11">
        <v>3</v>
      </c>
      <c r="N5" s="11">
        <v>62</v>
      </c>
    </row>
    <row r="6" spans="1:14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21"/>
      <c r="J6" s="21" t="str">
        <f t="shared" si="0"/>
        <v/>
      </c>
      <c r="K6" s="8" t="s">
        <v>23</v>
      </c>
      <c r="L6" s="11">
        <v>0</v>
      </c>
      <c r="M6" s="11">
        <v>1</v>
      </c>
      <c r="N6" s="11">
        <v>4</v>
      </c>
    </row>
    <row r="7" spans="1:14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21"/>
      <c r="J7" s="21" t="str">
        <f t="shared" si="0"/>
        <v/>
      </c>
      <c r="K7" s="8" t="s">
        <v>19</v>
      </c>
      <c r="L7" s="11">
        <v>20</v>
      </c>
      <c r="M7" s="11">
        <v>2</v>
      </c>
      <c r="N7" s="11">
        <v>28</v>
      </c>
    </row>
    <row r="8" spans="1:14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21">
        <v>30</v>
      </c>
      <c r="J8" s="21">
        <f t="shared" si="0"/>
        <v>30</v>
      </c>
      <c r="K8" s="8" t="s">
        <v>19</v>
      </c>
      <c r="L8" s="11">
        <v>20</v>
      </c>
      <c r="M8" s="11">
        <v>10</v>
      </c>
      <c r="N8" s="11">
        <v>55</v>
      </c>
    </row>
    <row r="9" spans="1:14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21"/>
      <c r="J9" s="21" t="str">
        <f t="shared" si="0"/>
        <v/>
      </c>
      <c r="K9" s="8" t="s">
        <v>23</v>
      </c>
      <c r="L9" s="11">
        <v>0</v>
      </c>
      <c r="M9" s="11">
        <v>0</v>
      </c>
      <c r="N9" s="11">
        <v>5</v>
      </c>
    </row>
    <row r="10" spans="1:14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21">
        <v>30</v>
      </c>
      <c r="J10" s="21">
        <f t="shared" si="0"/>
        <v>30</v>
      </c>
      <c r="K10" s="8" t="s">
        <v>19</v>
      </c>
      <c r="L10" s="11">
        <v>20</v>
      </c>
      <c r="M10" s="11">
        <v>5</v>
      </c>
      <c r="N10" s="11">
        <v>60</v>
      </c>
    </row>
    <row r="11" spans="1:14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21"/>
      <c r="J11" s="21" t="str">
        <f t="shared" si="0"/>
        <v/>
      </c>
      <c r="K11" s="8" t="s">
        <v>19</v>
      </c>
      <c r="L11" s="11">
        <v>20</v>
      </c>
      <c r="M11" s="11">
        <v>15</v>
      </c>
      <c r="N11" s="11">
        <v>15</v>
      </c>
    </row>
    <row r="12" spans="1:14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21"/>
      <c r="J12" s="21" t="str">
        <f t="shared" si="0"/>
        <v/>
      </c>
      <c r="K12" s="8" t="s">
        <v>23</v>
      </c>
      <c r="L12" s="11">
        <v>0</v>
      </c>
      <c r="M12" s="11">
        <v>1</v>
      </c>
      <c r="N12" s="11">
        <v>4</v>
      </c>
    </row>
    <row r="13" spans="1:14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21">
        <v>30</v>
      </c>
      <c r="J13" s="21">
        <f t="shared" si="0"/>
        <v>30</v>
      </c>
      <c r="K13" s="8" t="s">
        <v>19</v>
      </c>
      <c r="L13" s="11">
        <v>20</v>
      </c>
      <c r="M13" s="11">
        <v>20</v>
      </c>
      <c r="N13" s="11">
        <v>45</v>
      </c>
    </row>
    <row r="14" spans="1:14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21"/>
      <c r="J14" s="21" t="str">
        <f t="shared" si="0"/>
        <v/>
      </c>
      <c r="K14" s="8" t="s">
        <v>19</v>
      </c>
      <c r="L14" s="11">
        <v>20</v>
      </c>
      <c r="M14" s="11">
        <v>10</v>
      </c>
      <c r="N14" s="11">
        <v>20</v>
      </c>
    </row>
    <row r="15" spans="1:14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21"/>
      <c r="J15" s="21" t="str">
        <f t="shared" si="0"/>
        <v/>
      </c>
      <c r="K15" s="8" t="s">
        <v>23</v>
      </c>
      <c r="L15" s="11">
        <v>0</v>
      </c>
      <c r="M15" s="11">
        <v>0</v>
      </c>
      <c r="N15" s="11">
        <v>5</v>
      </c>
    </row>
    <row r="16" spans="1:14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21">
        <v>30</v>
      </c>
      <c r="J16" s="21">
        <f t="shared" si="0"/>
        <v>30</v>
      </c>
      <c r="K16" s="8" t="s">
        <v>19</v>
      </c>
      <c r="L16" s="11">
        <v>20</v>
      </c>
      <c r="M16" s="11">
        <v>8</v>
      </c>
      <c r="N16" s="11">
        <v>57</v>
      </c>
    </row>
    <row r="17" spans="1:14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21"/>
      <c r="J17" s="21" t="str">
        <f t="shared" si="0"/>
        <v/>
      </c>
      <c r="K17" s="8" t="s">
        <v>19</v>
      </c>
      <c r="L17" s="11">
        <v>20</v>
      </c>
      <c r="M17" s="11">
        <v>12</v>
      </c>
      <c r="N17" s="11">
        <v>18</v>
      </c>
    </row>
    <row r="18" spans="1:14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21"/>
      <c r="J18" s="21" t="str">
        <f t="shared" si="0"/>
        <v/>
      </c>
      <c r="K18" s="8" t="s">
        <v>23</v>
      </c>
      <c r="L18" s="11">
        <v>0</v>
      </c>
      <c r="M18" s="11">
        <v>2</v>
      </c>
      <c r="N18" s="11">
        <v>3</v>
      </c>
    </row>
    <row r="19" spans="1:14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21">
        <v>30</v>
      </c>
      <c r="J19" s="21">
        <f t="shared" si="0"/>
        <v>30</v>
      </c>
      <c r="K19" s="8" t="s">
        <v>19</v>
      </c>
      <c r="L19" s="11">
        <v>20</v>
      </c>
      <c r="M19" s="11">
        <v>7</v>
      </c>
      <c r="N19" s="11">
        <v>58</v>
      </c>
    </row>
    <row r="20" spans="1:14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21"/>
      <c r="J20" s="21" t="str">
        <f t="shared" si="0"/>
        <v/>
      </c>
      <c r="K20" s="8" t="s">
        <v>19</v>
      </c>
      <c r="L20" s="11">
        <v>20</v>
      </c>
      <c r="M20" s="11">
        <v>5</v>
      </c>
      <c r="N20" s="11">
        <v>25</v>
      </c>
    </row>
    <row r="21" spans="1:14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21"/>
      <c r="J21" s="21" t="str">
        <f t="shared" si="0"/>
        <v/>
      </c>
      <c r="K21" s="8" t="s">
        <v>23</v>
      </c>
      <c r="L21" s="11">
        <v>0</v>
      </c>
      <c r="M21" s="11">
        <v>0</v>
      </c>
      <c r="N21" s="11">
        <v>5</v>
      </c>
    </row>
    <row r="22" spans="1:14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21">
        <v>30</v>
      </c>
      <c r="J22" s="21">
        <f t="shared" si="0"/>
        <v>30</v>
      </c>
      <c r="K22" s="8" t="s">
        <v>19</v>
      </c>
      <c r="L22" s="11">
        <v>20</v>
      </c>
      <c r="M22" s="11">
        <v>3</v>
      </c>
      <c r="N22" s="11">
        <v>62</v>
      </c>
    </row>
    <row r="23" spans="1:14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21"/>
      <c r="J23" s="21" t="str">
        <f t="shared" si="0"/>
        <v/>
      </c>
      <c r="K23" s="8" t="s">
        <v>19</v>
      </c>
      <c r="L23" s="11">
        <v>20</v>
      </c>
      <c r="M23" s="11">
        <v>15</v>
      </c>
      <c r="N23" s="11">
        <v>15</v>
      </c>
    </row>
    <row r="24" spans="1:14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21"/>
      <c r="J24" s="21" t="str">
        <f t="shared" si="0"/>
        <v/>
      </c>
      <c r="K24" s="8" t="s">
        <v>23</v>
      </c>
      <c r="L24" s="11">
        <v>0</v>
      </c>
      <c r="M24" s="11">
        <v>1</v>
      </c>
      <c r="N24" s="11">
        <v>4</v>
      </c>
    </row>
    <row r="25" spans="1:14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21">
        <v>30</v>
      </c>
      <c r="J25" s="21">
        <f t="shared" si="0"/>
        <v>30</v>
      </c>
      <c r="K25" s="8" t="s">
        <v>19</v>
      </c>
      <c r="L25" s="11">
        <v>20</v>
      </c>
      <c r="M25" s="11">
        <v>20</v>
      </c>
      <c r="N25" s="11">
        <v>45</v>
      </c>
    </row>
    <row r="26" spans="1:14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21"/>
      <c r="J26" s="21" t="str">
        <f t="shared" si="0"/>
        <v/>
      </c>
      <c r="K26" s="8" t="s">
        <v>19</v>
      </c>
      <c r="L26" s="11">
        <v>20</v>
      </c>
      <c r="M26" s="11">
        <v>10</v>
      </c>
      <c r="N26" s="11">
        <v>20</v>
      </c>
    </row>
    <row r="27" spans="1:14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21"/>
      <c r="J27" s="21" t="str">
        <f t="shared" si="0"/>
        <v/>
      </c>
      <c r="K27" s="8" t="s">
        <v>23</v>
      </c>
      <c r="L27" s="11">
        <v>0</v>
      </c>
      <c r="M27" s="11">
        <v>0</v>
      </c>
      <c r="N27" s="11">
        <v>5</v>
      </c>
    </row>
    <row r="28" spans="1:14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21">
        <v>30</v>
      </c>
      <c r="J28" s="21">
        <f t="shared" si="0"/>
        <v>30</v>
      </c>
      <c r="K28" s="8" t="s">
        <v>19</v>
      </c>
      <c r="L28" s="11">
        <v>20</v>
      </c>
      <c r="M28" s="11">
        <v>5</v>
      </c>
      <c r="N28" s="11">
        <v>60</v>
      </c>
    </row>
    <row r="29" spans="1:14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21"/>
      <c r="J29" s="21" t="str">
        <f t="shared" si="0"/>
        <v/>
      </c>
      <c r="K29" s="8" t="s">
        <v>19</v>
      </c>
      <c r="L29" s="11">
        <v>20</v>
      </c>
      <c r="M29" s="11">
        <v>15</v>
      </c>
      <c r="N29" s="11">
        <v>15</v>
      </c>
    </row>
    <row r="30" spans="1:14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21"/>
      <c r="J30" s="21" t="str">
        <f t="shared" si="0"/>
        <v/>
      </c>
      <c r="K30" s="8" t="s">
        <v>23</v>
      </c>
      <c r="L30" s="11">
        <v>0</v>
      </c>
      <c r="M30" s="11">
        <v>1</v>
      </c>
      <c r="N30" s="11">
        <v>4</v>
      </c>
    </row>
    <row r="31" spans="1:14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21">
        <v>30</v>
      </c>
      <c r="J31" s="21">
        <f t="shared" si="0"/>
        <v>30</v>
      </c>
      <c r="K31" s="8" t="s">
        <v>19</v>
      </c>
      <c r="L31" s="11">
        <v>20</v>
      </c>
      <c r="M31" s="11">
        <v>7</v>
      </c>
      <c r="N31" s="11">
        <v>58</v>
      </c>
    </row>
    <row r="32" spans="1:14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21"/>
      <c r="J32" s="21" t="str">
        <f t="shared" si="0"/>
        <v/>
      </c>
      <c r="K32" s="8" t="s">
        <v>19</v>
      </c>
      <c r="L32" s="11">
        <v>20</v>
      </c>
      <c r="M32" s="11">
        <v>10</v>
      </c>
      <c r="N32" s="11">
        <v>20</v>
      </c>
    </row>
    <row r="33" spans="1:14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21"/>
      <c r="J33" s="21" t="str">
        <f t="shared" si="0"/>
        <v/>
      </c>
      <c r="K33" s="8" t="s">
        <v>23</v>
      </c>
      <c r="L33" s="11">
        <v>0</v>
      </c>
      <c r="M33" s="11">
        <v>0</v>
      </c>
      <c r="N33" s="11">
        <v>5</v>
      </c>
    </row>
    <row r="34" spans="1:14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21">
        <v>30</v>
      </c>
      <c r="J34" s="21">
        <f t="shared" si="0"/>
        <v>30</v>
      </c>
      <c r="K34" s="8" t="s">
        <v>19</v>
      </c>
      <c r="L34" s="11">
        <v>20</v>
      </c>
      <c r="M34" s="11">
        <v>3</v>
      </c>
      <c r="N34" s="11">
        <v>62</v>
      </c>
    </row>
    <row r="35" spans="1:14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21"/>
      <c r="J35" s="21" t="str">
        <f t="shared" si="0"/>
        <v/>
      </c>
      <c r="K35" s="8" t="s">
        <v>19</v>
      </c>
      <c r="L35" s="11">
        <v>20</v>
      </c>
      <c r="M35" s="11">
        <v>15</v>
      </c>
      <c r="N35" s="11">
        <v>15</v>
      </c>
    </row>
    <row r="36" spans="1:14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21"/>
      <c r="J36" s="21" t="str">
        <f t="shared" si="0"/>
        <v/>
      </c>
      <c r="K36" s="8" t="s">
        <v>23</v>
      </c>
      <c r="L36" s="11">
        <v>0</v>
      </c>
      <c r="M36" s="11">
        <v>1</v>
      </c>
      <c r="N36" s="11">
        <v>4</v>
      </c>
    </row>
    <row r="37" spans="1:14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21"/>
      <c r="J37" s="21" t="str">
        <f t="shared" si="0"/>
        <v/>
      </c>
      <c r="K37" s="8" t="s">
        <v>23</v>
      </c>
      <c r="L37" s="11">
        <v>0</v>
      </c>
      <c r="M37" s="11">
        <v>0</v>
      </c>
      <c r="N37" s="11">
        <v>5</v>
      </c>
    </row>
    <row r="38" spans="1:14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21">
        <v>30</v>
      </c>
      <c r="J38" s="21">
        <f t="shared" si="0"/>
        <v>30</v>
      </c>
      <c r="K38" s="8" t="s">
        <v>19</v>
      </c>
      <c r="L38" s="11">
        <v>20</v>
      </c>
      <c r="M38" s="11">
        <v>7</v>
      </c>
      <c r="N38" s="11">
        <v>58</v>
      </c>
    </row>
    <row r="39" spans="1:14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21"/>
      <c r="J39" s="21" t="str">
        <f t="shared" si="0"/>
        <v/>
      </c>
      <c r="K39" s="8" t="s">
        <v>19</v>
      </c>
      <c r="L39" s="11">
        <v>20</v>
      </c>
      <c r="M39" s="11">
        <v>10</v>
      </c>
      <c r="N39" s="11">
        <v>20</v>
      </c>
    </row>
    <row r="40" spans="1:14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21"/>
      <c r="J40" s="21" t="str">
        <f t="shared" si="0"/>
        <v/>
      </c>
      <c r="K40" s="8" t="s">
        <v>23</v>
      </c>
      <c r="L40" s="11">
        <v>0</v>
      </c>
      <c r="M40" s="11">
        <v>1</v>
      </c>
      <c r="N40" s="11">
        <v>4</v>
      </c>
    </row>
    <row r="41" spans="1:14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21">
        <v>30</v>
      </c>
      <c r="J41" s="21">
        <f t="shared" si="0"/>
        <v>30</v>
      </c>
      <c r="K41" s="8" t="s">
        <v>19</v>
      </c>
      <c r="L41" s="11">
        <v>20</v>
      </c>
      <c r="M41" s="11">
        <v>15</v>
      </c>
      <c r="N41" s="11">
        <v>50</v>
      </c>
    </row>
    <row r="42" spans="1:14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21"/>
      <c r="J42" s="21" t="str">
        <f t="shared" si="0"/>
        <v/>
      </c>
      <c r="K42" s="8" t="s">
        <v>19</v>
      </c>
      <c r="L42" s="11">
        <v>20</v>
      </c>
      <c r="M42" s="11">
        <v>5</v>
      </c>
      <c r="N42" s="11">
        <v>25</v>
      </c>
    </row>
    <row r="43" spans="1:14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21"/>
      <c r="J43" s="21" t="str">
        <f t="shared" si="0"/>
        <v/>
      </c>
      <c r="K43" s="8" t="s">
        <v>23</v>
      </c>
      <c r="L43" s="11">
        <v>0</v>
      </c>
      <c r="M43" s="11">
        <v>0</v>
      </c>
      <c r="N43" s="11">
        <v>5</v>
      </c>
    </row>
    <row r="44" spans="1:14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21">
        <v>30</v>
      </c>
      <c r="J44" s="21">
        <f t="shared" si="0"/>
        <v>30</v>
      </c>
      <c r="K44" s="8" t="s">
        <v>19</v>
      </c>
      <c r="L44" s="11">
        <v>20</v>
      </c>
      <c r="M44" s="11">
        <v>20</v>
      </c>
      <c r="N44" s="11">
        <v>45</v>
      </c>
    </row>
    <row r="45" spans="1:14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21"/>
      <c r="J45" s="21" t="str">
        <f t="shared" si="0"/>
        <v/>
      </c>
      <c r="K45" s="8" t="s">
        <v>19</v>
      </c>
      <c r="L45" s="11">
        <v>20</v>
      </c>
      <c r="M45" s="11">
        <v>12</v>
      </c>
      <c r="N45" s="11">
        <v>18</v>
      </c>
    </row>
    <row r="46" spans="1:14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21"/>
      <c r="J46" s="21" t="str">
        <f t="shared" si="0"/>
        <v/>
      </c>
      <c r="K46" s="8" t="s">
        <v>23</v>
      </c>
      <c r="L46" s="11">
        <v>0</v>
      </c>
      <c r="M46" s="11">
        <v>2</v>
      </c>
      <c r="N46" s="11">
        <v>3</v>
      </c>
    </row>
    <row r="47" spans="1:14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21">
        <v>30</v>
      </c>
      <c r="J47" s="21">
        <f t="shared" si="0"/>
        <v>30</v>
      </c>
      <c r="K47" s="8" t="s">
        <v>19</v>
      </c>
      <c r="L47" s="11">
        <v>20</v>
      </c>
      <c r="M47" s="11">
        <v>5</v>
      </c>
      <c r="N47" s="11">
        <v>60</v>
      </c>
    </row>
    <row r="48" spans="1:14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21"/>
      <c r="J48" s="21" t="str">
        <f t="shared" si="0"/>
        <v/>
      </c>
      <c r="K48" s="8" t="s">
        <v>19</v>
      </c>
      <c r="L48" s="11">
        <v>20</v>
      </c>
      <c r="M48" s="11">
        <v>10</v>
      </c>
      <c r="N48" s="11">
        <v>20</v>
      </c>
    </row>
    <row r="49" spans="1:14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21"/>
      <c r="J49" s="21" t="str">
        <f t="shared" si="0"/>
        <v/>
      </c>
      <c r="K49" s="8" t="s">
        <v>23</v>
      </c>
      <c r="L49" s="11">
        <v>0</v>
      </c>
      <c r="M49" s="11">
        <v>0</v>
      </c>
      <c r="N49" s="11">
        <v>5</v>
      </c>
    </row>
    <row r="50" spans="1:14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21">
        <v>30</v>
      </c>
      <c r="J50" s="21">
        <f t="shared" si="0"/>
        <v>30</v>
      </c>
      <c r="K50" s="8" t="s">
        <v>19</v>
      </c>
      <c r="L50" s="11">
        <v>20</v>
      </c>
      <c r="M50" s="11">
        <v>3</v>
      </c>
      <c r="N50" s="11">
        <v>62</v>
      </c>
    </row>
    <row r="51" spans="1:14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21"/>
      <c r="J51" s="21" t="str">
        <f t="shared" si="0"/>
        <v/>
      </c>
      <c r="K51" s="8" t="s">
        <v>19</v>
      </c>
      <c r="L51" s="11">
        <v>20</v>
      </c>
      <c r="M51" s="11">
        <v>15</v>
      </c>
      <c r="N51" s="11">
        <v>15</v>
      </c>
    </row>
    <row r="52" spans="1:14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21"/>
      <c r="J52" s="21" t="str">
        <f t="shared" si="0"/>
        <v/>
      </c>
      <c r="K52" s="8" t="s">
        <v>23</v>
      </c>
      <c r="L52" s="11">
        <v>0</v>
      </c>
      <c r="M52" s="11">
        <v>1</v>
      </c>
      <c r="N52" s="11">
        <v>4</v>
      </c>
    </row>
    <row r="53" spans="1:14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21">
        <v>30</v>
      </c>
      <c r="J53" s="21">
        <f t="shared" si="0"/>
        <v>30</v>
      </c>
      <c r="K53" s="8" t="s">
        <v>19</v>
      </c>
      <c r="L53" s="11">
        <v>20</v>
      </c>
      <c r="M53" s="11">
        <v>7</v>
      </c>
      <c r="N53" s="11">
        <v>58</v>
      </c>
    </row>
    <row r="54" spans="1:14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21"/>
      <c r="J54" s="21" t="str">
        <f t="shared" si="0"/>
        <v/>
      </c>
      <c r="K54" s="8" t="s">
        <v>19</v>
      </c>
      <c r="L54" s="11">
        <v>20</v>
      </c>
      <c r="M54" s="11">
        <v>10</v>
      </c>
      <c r="N54" s="11">
        <v>20</v>
      </c>
    </row>
    <row r="55" spans="1:14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21"/>
      <c r="J55" s="21" t="str">
        <f t="shared" si="0"/>
        <v/>
      </c>
      <c r="K55" s="8" t="s">
        <v>23</v>
      </c>
      <c r="L55" s="11">
        <v>0</v>
      </c>
      <c r="M55" s="11">
        <v>0</v>
      </c>
      <c r="N55" s="11">
        <v>5</v>
      </c>
    </row>
    <row r="56" spans="1:14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21">
        <v>30</v>
      </c>
      <c r="J56" s="21">
        <f t="shared" si="0"/>
        <v>30</v>
      </c>
      <c r="K56" s="8" t="s">
        <v>19</v>
      </c>
      <c r="L56" s="11">
        <v>20</v>
      </c>
      <c r="M56" s="11">
        <v>20</v>
      </c>
      <c r="N56" s="11">
        <v>45</v>
      </c>
    </row>
    <row r="57" spans="1:14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21"/>
      <c r="J57" s="21" t="str">
        <f t="shared" si="0"/>
        <v/>
      </c>
      <c r="K57" s="8" t="s">
        <v>19</v>
      </c>
      <c r="L57" s="11">
        <v>20</v>
      </c>
      <c r="M57" s="11">
        <v>15</v>
      </c>
      <c r="N57" s="11">
        <v>15</v>
      </c>
    </row>
    <row r="58" spans="1:14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21"/>
      <c r="J58" s="21" t="str">
        <f t="shared" si="0"/>
        <v/>
      </c>
      <c r="K58" s="8" t="s">
        <v>23</v>
      </c>
      <c r="L58" s="11">
        <v>0</v>
      </c>
      <c r="M58" s="11">
        <v>1</v>
      </c>
      <c r="N58" s="11">
        <v>4</v>
      </c>
    </row>
    <row r="59" spans="1:14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21">
        <v>30</v>
      </c>
      <c r="J59" s="21">
        <f t="shared" si="0"/>
        <v>30</v>
      </c>
      <c r="K59" s="8" t="s">
        <v>19</v>
      </c>
      <c r="L59" s="11">
        <v>20</v>
      </c>
      <c r="M59" s="11">
        <v>3</v>
      </c>
      <c r="N59" s="11">
        <v>62</v>
      </c>
    </row>
    <row r="60" spans="1:14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21"/>
      <c r="J60" s="21" t="str">
        <f t="shared" si="0"/>
        <v/>
      </c>
      <c r="K60" s="8" t="s">
        <v>19</v>
      </c>
      <c r="L60" s="11">
        <v>20</v>
      </c>
      <c r="M60" s="11">
        <v>10</v>
      </c>
      <c r="N60" s="11">
        <v>20</v>
      </c>
    </row>
    <row r="61" spans="1:14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21"/>
      <c r="J61" s="21" t="str">
        <f t="shared" si="0"/>
        <v/>
      </c>
      <c r="K61" s="8" t="s">
        <v>23</v>
      </c>
      <c r="L61" s="11">
        <v>0</v>
      </c>
      <c r="M61" s="11">
        <v>0</v>
      </c>
      <c r="N61" s="11">
        <v>5</v>
      </c>
    </row>
    <row r="62" spans="1:14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21">
        <v>30</v>
      </c>
      <c r="J62" s="21">
        <f t="shared" si="0"/>
        <v>30</v>
      </c>
      <c r="K62" s="8" t="s">
        <v>19</v>
      </c>
      <c r="L62" s="11">
        <v>20</v>
      </c>
      <c r="M62" s="11">
        <v>5</v>
      </c>
      <c r="N62" s="11">
        <v>60</v>
      </c>
    </row>
    <row r="63" spans="1:14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21"/>
      <c r="J63" s="21" t="str">
        <f t="shared" si="0"/>
        <v/>
      </c>
      <c r="K63" s="8" t="s">
        <v>19</v>
      </c>
      <c r="L63" s="11">
        <v>20</v>
      </c>
      <c r="M63" s="11">
        <v>15</v>
      </c>
      <c r="N63" s="11">
        <v>15</v>
      </c>
    </row>
    <row r="64" spans="1:14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21"/>
      <c r="J64" s="21" t="str">
        <f t="shared" si="0"/>
        <v/>
      </c>
      <c r="K64" s="8" t="s">
        <v>23</v>
      </c>
      <c r="L64" s="11">
        <v>0</v>
      </c>
      <c r="M64" s="11">
        <v>1</v>
      </c>
      <c r="N64" s="11">
        <v>4</v>
      </c>
    </row>
    <row r="65" spans="1:14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21">
        <v>30</v>
      </c>
      <c r="J65" s="21">
        <f t="shared" si="0"/>
        <v>30</v>
      </c>
      <c r="K65" s="8" t="s">
        <v>19</v>
      </c>
      <c r="L65" s="11">
        <v>20</v>
      </c>
      <c r="M65" s="11">
        <v>20</v>
      </c>
      <c r="N65" s="11">
        <v>45</v>
      </c>
    </row>
    <row r="66" spans="1:14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21"/>
      <c r="J66" s="21" t="str">
        <f t="shared" ref="J66:J129" si="1">IF(I66="","",VALUE(I66))</f>
        <v/>
      </c>
      <c r="K66" s="8" t="s">
        <v>19</v>
      </c>
      <c r="L66" s="11">
        <v>20</v>
      </c>
      <c r="M66" s="11">
        <v>5</v>
      </c>
      <c r="N66" s="11">
        <v>25</v>
      </c>
    </row>
    <row r="67" spans="1:14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21"/>
      <c r="J67" s="21" t="str">
        <f t="shared" si="1"/>
        <v/>
      </c>
      <c r="K67" s="8" t="s">
        <v>23</v>
      </c>
      <c r="L67" s="11">
        <v>0</v>
      </c>
      <c r="M67" s="11">
        <v>0</v>
      </c>
      <c r="N67" s="11">
        <v>5</v>
      </c>
    </row>
    <row r="68" spans="1:14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21">
        <v>30</v>
      </c>
      <c r="J68" s="21">
        <f t="shared" si="1"/>
        <v>30</v>
      </c>
      <c r="K68" s="8" t="s">
        <v>19</v>
      </c>
      <c r="L68" s="11">
        <v>20</v>
      </c>
      <c r="M68" s="11">
        <v>7</v>
      </c>
      <c r="N68" s="11">
        <v>58</v>
      </c>
    </row>
    <row r="69" spans="1:14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21"/>
      <c r="J69" s="21" t="str">
        <f t="shared" si="1"/>
        <v/>
      </c>
      <c r="K69" s="8" t="s">
        <v>19</v>
      </c>
      <c r="L69" s="11">
        <v>20</v>
      </c>
      <c r="M69" s="11">
        <v>10</v>
      </c>
      <c r="N69" s="11">
        <v>20</v>
      </c>
    </row>
    <row r="70" spans="1:14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21"/>
      <c r="J70" s="21" t="str">
        <f t="shared" si="1"/>
        <v/>
      </c>
      <c r="K70" s="8" t="s">
        <v>23</v>
      </c>
      <c r="L70" s="11">
        <v>0</v>
      </c>
      <c r="M70" s="11">
        <v>1</v>
      </c>
      <c r="N70" s="11">
        <v>4</v>
      </c>
    </row>
    <row r="71" spans="1:14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21">
        <v>30</v>
      </c>
      <c r="J71" s="21">
        <f t="shared" si="1"/>
        <v>30</v>
      </c>
      <c r="K71" s="8" t="s">
        <v>19</v>
      </c>
      <c r="L71" s="11">
        <v>20</v>
      </c>
      <c r="M71" s="11">
        <v>15</v>
      </c>
      <c r="N71" s="11">
        <v>50</v>
      </c>
    </row>
    <row r="72" spans="1:14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21"/>
      <c r="J72" s="21" t="str">
        <f t="shared" si="1"/>
        <v/>
      </c>
      <c r="K72" s="8" t="s">
        <v>19</v>
      </c>
      <c r="L72" s="11">
        <v>20</v>
      </c>
      <c r="M72" s="11">
        <v>5</v>
      </c>
      <c r="N72" s="11">
        <v>25</v>
      </c>
    </row>
    <row r="73" spans="1:14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21"/>
      <c r="J73" s="21" t="str">
        <f t="shared" si="1"/>
        <v/>
      </c>
      <c r="K73" s="8" t="s">
        <v>23</v>
      </c>
      <c r="L73" s="11">
        <v>0</v>
      </c>
      <c r="M73" s="11">
        <v>0</v>
      </c>
      <c r="N73" s="11">
        <v>5</v>
      </c>
    </row>
    <row r="74" spans="1:14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21">
        <v>30</v>
      </c>
      <c r="J74" s="21">
        <f t="shared" si="1"/>
        <v>30</v>
      </c>
      <c r="K74" s="8" t="s">
        <v>19</v>
      </c>
      <c r="L74" s="11">
        <v>20</v>
      </c>
      <c r="M74" s="11">
        <v>20</v>
      </c>
      <c r="N74" s="11">
        <v>45</v>
      </c>
    </row>
    <row r="75" spans="1:14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21"/>
      <c r="J75" s="21" t="str">
        <f t="shared" si="1"/>
        <v/>
      </c>
      <c r="K75" s="8" t="s">
        <v>19</v>
      </c>
      <c r="L75" s="11">
        <v>20</v>
      </c>
      <c r="M75" s="11">
        <v>12</v>
      </c>
      <c r="N75" s="11">
        <v>18</v>
      </c>
    </row>
    <row r="76" spans="1:14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21"/>
      <c r="J76" s="21" t="str">
        <f t="shared" si="1"/>
        <v/>
      </c>
      <c r="K76" s="8" t="s">
        <v>23</v>
      </c>
      <c r="L76" s="11">
        <v>0</v>
      </c>
      <c r="M76" s="11">
        <v>2</v>
      </c>
      <c r="N76" s="11">
        <v>3</v>
      </c>
    </row>
    <row r="77" spans="1:14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21">
        <v>30</v>
      </c>
      <c r="J77" s="21">
        <f t="shared" si="1"/>
        <v>30</v>
      </c>
      <c r="K77" s="8" t="s">
        <v>19</v>
      </c>
      <c r="L77" s="11">
        <v>20</v>
      </c>
      <c r="M77" s="11">
        <v>5</v>
      </c>
      <c r="N77" s="11">
        <v>60</v>
      </c>
    </row>
    <row r="78" spans="1:14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21"/>
      <c r="J78" s="21" t="str">
        <f t="shared" si="1"/>
        <v/>
      </c>
      <c r="K78" s="8" t="s">
        <v>19</v>
      </c>
      <c r="L78" s="11">
        <v>20</v>
      </c>
      <c r="M78" s="11">
        <v>10</v>
      </c>
      <c r="N78" s="11">
        <v>20</v>
      </c>
    </row>
    <row r="79" spans="1:14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21"/>
      <c r="J79" s="21" t="str">
        <f t="shared" si="1"/>
        <v/>
      </c>
      <c r="K79" s="8" t="s">
        <v>23</v>
      </c>
      <c r="L79" s="11">
        <v>0</v>
      </c>
      <c r="M79" s="11">
        <v>0</v>
      </c>
      <c r="N79" s="11">
        <v>5</v>
      </c>
    </row>
    <row r="80" spans="1:14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21">
        <v>30</v>
      </c>
      <c r="J80" s="21">
        <f t="shared" si="1"/>
        <v>30</v>
      </c>
      <c r="K80" s="8" t="s">
        <v>19</v>
      </c>
      <c r="L80" s="11">
        <v>20</v>
      </c>
      <c r="M80" s="11">
        <v>3</v>
      </c>
      <c r="N80" s="11">
        <v>62</v>
      </c>
    </row>
    <row r="81" spans="1:14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21"/>
      <c r="J81" s="21" t="str">
        <f t="shared" si="1"/>
        <v/>
      </c>
      <c r="K81" s="8" t="s">
        <v>19</v>
      </c>
      <c r="L81" s="11">
        <v>20</v>
      </c>
      <c r="M81" s="11">
        <v>15</v>
      </c>
      <c r="N81" s="11">
        <v>15</v>
      </c>
    </row>
    <row r="82" spans="1:14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21"/>
      <c r="J82" s="21" t="str">
        <f t="shared" si="1"/>
        <v/>
      </c>
      <c r="K82" s="8" t="s">
        <v>23</v>
      </c>
      <c r="L82" s="11">
        <v>0</v>
      </c>
      <c r="M82" s="11">
        <v>1</v>
      </c>
      <c r="N82" s="11">
        <v>4</v>
      </c>
    </row>
    <row r="83" spans="1:14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21">
        <v>30</v>
      </c>
      <c r="J83" s="21">
        <f t="shared" si="1"/>
        <v>30</v>
      </c>
      <c r="K83" s="8" t="s">
        <v>19</v>
      </c>
      <c r="L83" s="11">
        <v>20</v>
      </c>
      <c r="M83" s="11">
        <v>7</v>
      </c>
      <c r="N83" s="11">
        <v>58</v>
      </c>
    </row>
    <row r="84" spans="1:14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21"/>
      <c r="J84" s="21" t="str">
        <f t="shared" si="1"/>
        <v/>
      </c>
      <c r="K84" s="8" t="s">
        <v>19</v>
      </c>
      <c r="L84" s="11">
        <v>20</v>
      </c>
      <c r="M84" s="11">
        <v>10</v>
      </c>
      <c r="N84" s="11">
        <v>20</v>
      </c>
    </row>
    <row r="85" spans="1:14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21"/>
      <c r="J85" s="21" t="str">
        <f t="shared" si="1"/>
        <v/>
      </c>
      <c r="K85" s="8" t="s">
        <v>23</v>
      </c>
      <c r="L85" s="11">
        <v>0</v>
      </c>
      <c r="M85" s="11">
        <v>0</v>
      </c>
      <c r="N85" s="11">
        <v>5</v>
      </c>
    </row>
    <row r="86" spans="1:14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21">
        <v>30</v>
      </c>
      <c r="J86" s="21">
        <f t="shared" si="1"/>
        <v>30</v>
      </c>
      <c r="K86" s="8" t="s">
        <v>19</v>
      </c>
      <c r="L86" s="11">
        <v>20</v>
      </c>
      <c r="M86" s="11">
        <v>20</v>
      </c>
      <c r="N86" s="11">
        <v>45</v>
      </c>
    </row>
    <row r="87" spans="1:14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21"/>
      <c r="J87" s="21" t="str">
        <f t="shared" si="1"/>
        <v/>
      </c>
      <c r="K87" s="8" t="s">
        <v>19</v>
      </c>
      <c r="L87" s="11">
        <v>20</v>
      </c>
      <c r="M87" s="11">
        <v>15</v>
      </c>
      <c r="N87" s="11">
        <v>15</v>
      </c>
    </row>
    <row r="88" spans="1:14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21"/>
      <c r="J88" s="21" t="str">
        <f t="shared" si="1"/>
        <v/>
      </c>
      <c r="K88" s="8" t="s">
        <v>23</v>
      </c>
      <c r="L88" s="11">
        <v>0</v>
      </c>
      <c r="M88" s="11">
        <v>1</v>
      </c>
      <c r="N88" s="11">
        <v>4</v>
      </c>
    </row>
    <row r="89" spans="1:14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21">
        <v>30</v>
      </c>
      <c r="J89" s="21">
        <f t="shared" si="1"/>
        <v>30</v>
      </c>
      <c r="K89" s="8" t="s">
        <v>19</v>
      </c>
      <c r="L89" s="11">
        <v>20</v>
      </c>
      <c r="M89" s="11">
        <v>3</v>
      </c>
      <c r="N89" s="11">
        <v>62</v>
      </c>
    </row>
    <row r="90" spans="1:14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21"/>
      <c r="J90" s="21" t="str">
        <f t="shared" si="1"/>
        <v/>
      </c>
      <c r="K90" s="8" t="s">
        <v>19</v>
      </c>
      <c r="L90" s="11">
        <v>20</v>
      </c>
      <c r="M90" s="11">
        <v>10</v>
      </c>
      <c r="N90" s="11">
        <v>20</v>
      </c>
    </row>
    <row r="91" spans="1:14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21"/>
      <c r="J91" s="21" t="str">
        <f t="shared" si="1"/>
        <v/>
      </c>
      <c r="K91" s="8" t="s">
        <v>23</v>
      </c>
      <c r="L91" s="11">
        <v>0</v>
      </c>
      <c r="M91" s="11">
        <v>0</v>
      </c>
      <c r="N91" s="11">
        <v>5</v>
      </c>
    </row>
    <row r="92" spans="1:14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21">
        <v>30</v>
      </c>
      <c r="J92" s="21">
        <f t="shared" si="1"/>
        <v>30</v>
      </c>
      <c r="K92" s="8" t="s">
        <v>19</v>
      </c>
      <c r="L92" s="11">
        <v>20</v>
      </c>
      <c r="M92" s="11">
        <v>5</v>
      </c>
      <c r="N92" s="11">
        <v>60</v>
      </c>
    </row>
    <row r="93" spans="1:14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21"/>
      <c r="J93" s="21" t="str">
        <f t="shared" si="1"/>
        <v/>
      </c>
      <c r="K93" s="8" t="s">
        <v>19</v>
      </c>
      <c r="L93" s="11">
        <v>20</v>
      </c>
      <c r="M93" s="11">
        <v>15</v>
      </c>
      <c r="N93" s="11">
        <v>15</v>
      </c>
    </row>
    <row r="94" spans="1:14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21"/>
      <c r="J94" s="21" t="str">
        <f t="shared" si="1"/>
        <v/>
      </c>
      <c r="K94" s="8" t="s">
        <v>23</v>
      </c>
      <c r="L94" s="11">
        <v>0</v>
      </c>
      <c r="M94" s="11">
        <v>1</v>
      </c>
      <c r="N94" s="11">
        <v>4</v>
      </c>
    </row>
    <row r="95" spans="1:14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21">
        <v>30</v>
      </c>
      <c r="J95" s="21">
        <f t="shared" si="1"/>
        <v>30</v>
      </c>
      <c r="K95" s="8" t="s">
        <v>19</v>
      </c>
      <c r="L95" s="11">
        <v>20</v>
      </c>
      <c r="M95" s="11">
        <v>20</v>
      </c>
      <c r="N95" s="11">
        <v>45</v>
      </c>
    </row>
    <row r="96" spans="1:14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21"/>
      <c r="J96" s="21" t="str">
        <f t="shared" si="1"/>
        <v/>
      </c>
      <c r="K96" s="8" t="s">
        <v>19</v>
      </c>
      <c r="L96" s="11">
        <v>20</v>
      </c>
      <c r="M96" s="11">
        <v>15</v>
      </c>
      <c r="N96" s="11">
        <v>15</v>
      </c>
    </row>
    <row r="97" spans="1:14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21"/>
      <c r="J97" s="21" t="str">
        <f t="shared" si="1"/>
        <v/>
      </c>
      <c r="K97" s="8" t="s">
        <v>23</v>
      </c>
      <c r="L97" s="11">
        <v>0</v>
      </c>
      <c r="M97" s="11">
        <v>0</v>
      </c>
      <c r="N97" s="11">
        <v>5</v>
      </c>
    </row>
    <row r="98" spans="1:14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21">
        <v>30</v>
      </c>
      <c r="J98" s="21">
        <f t="shared" si="1"/>
        <v>30</v>
      </c>
      <c r="K98" s="8" t="s">
        <v>19</v>
      </c>
      <c r="L98" s="11">
        <v>20</v>
      </c>
      <c r="M98" s="11">
        <v>7</v>
      </c>
      <c r="N98" s="11">
        <v>58</v>
      </c>
    </row>
    <row r="99" spans="1:14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21"/>
      <c r="J99" s="21" t="str">
        <f t="shared" si="1"/>
        <v/>
      </c>
      <c r="K99" s="8" t="s">
        <v>19</v>
      </c>
      <c r="L99" s="11">
        <v>20</v>
      </c>
      <c r="M99" s="11">
        <v>10</v>
      </c>
      <c r="N99" s="11">
        <v>20</v>
      </c>
    </row>
    <row r="100" spans="1:14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21"/>
      <c r="J100" s="21" t="str">
        <f t="shared" si="1"/>
        <v/>
      </c>
      <c r="K100" s="8" t="s">
        <v>23</v>
      </c>
      <c r="L100" s="11">
        <v>0</v>
      </c>
      <c r="M100" s="11">
        <v>1</v>
      </c>
      <c r="N100" s="11">
        <v>4</v>
      </c>
    </row>
    <row r="101" spans="1:14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21">
        <v>30</v>
      </c>
      <c r="J101" s="21">
        <f t="shared" si="1"/>
        <v>30</v>
      </c>
      <c r="K101" s="8" t="s">
        <v>19</v>
      </c>
      <c r="L101" s="11">
        <v>20</v>
      </c>
      <c r="M101" s="11">
        <v>15</v>
      </c>
      <c r="N101" s="11">
        <v>50</v>
      </c>
    </row>
    <row r="102" spans="1:14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21"/>
      <c r="J102" s="21" t="str">
        <f t="shared" si="1"/>
        <v/>
      </c>
      <c r="K102" s="8" t="s">
        <v>19</v>
      </c>
      <c r="L102" s="11">
        <v>20</v>
      </c>
      <c r="M102" s="11">
        <v>5</v>
      </c>
      <c r="N102" s="11">
        <v>25</v>
      </c>
    </row>
    <row r="103" spans="1:14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21"/>
      <c r="J103" s="21" t="str">
        <f t="shared" si="1"/>
        <v/>
      </c>
      <c r="K103" s="8" t="s">
        <v>23</v>
      </c>
      <c r="L103" s="11">
        <v>0</v>
      </c>
      <c r="M103" s="11">
        <v>0</v>
      </c>
      <c r="N103" s="11">
        <v>5</v>
      </c>
    </row>
    <row r="104" spans="1:14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21">
        <v>30</v>
      </c>
      <c r="J104" s="21">
        <f t="shared" si="1"/>
        <v>30</v>
      </c>
      <c r="K104" s="8" t="s">
        <v>19</v>
      </c>
      <c r="L104" s="11">
        <v>20</v>
      </c>
      <c r="M104" s="11">
        <v>20</v>
      </c>
      <c r="N104" s="11">
        <v>45</v>
      </c>
    </row>
    <row r="105" spans="1:14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21"/>
      <c r="J105" s="21" t="str">
        <f t="shared" si="1"/>
        <v/>
      </c>
      <c r="K105" s="8" t="s">
        <v>19</v>
      </c>
      <c r="L105" s="11">
        <v>20</v>
      </c>
      <c r="M105" s="11">
        <v>12</v>
      </c>
      <c r="N105" s="11">
        <v>18</v>
      </c>
    </row>
    <row r="106" spans="1:14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21"/>
      <c r="J106" s="21" t="str">
        <f t="shared" si="1"/>
        <v/>
      </c>
      <c r="K106" s="8" t="s">
        <v>23</v>
      </c>
      <c r="L106" s="11">
        <v>0</v>
      </c>
      <c r="M106" s="11">
        <v>2</v>
      </c>
      <c r="N106" s="11">
        <v>3</v>
      </c>
    </row>
    <row r="107" spans="1:14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21"/>
      <c r="J107" s="21" t="str">
        <f t="shared" si="1"/>
        <v/>
      </c>
      <c r="K107" s="8" t="s">
        <v>23</v>
      </c>
      <c r="L107" s="11">
        <v>0</v>
      </c>
      <c r="M107" s="11">
        <v>0</v>
      </c>
      <c r="N107" s="11">
        <v>5</v>
      </c>
    </row>
    <row r="108" spans="1:14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21">
        <v>30</v>
      </c>
      <c r="J108" s="21">
        <f t="shared" si="1"/>
        <v>30</v>
      </c>
      <c r="K108" s="8" t="s">
        <v>19</v>
      </c>
      <c r="L108" s="11">
        <v>20</v>
      </c>
      <c r="M108" s="11">
        <v>7</v>
      </c>
      <c r="N108" s="11">
        <v>58</v>
      </c>
    </row>
    <row r="109" spans="1:14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21"/>
      <c r="J109" s="21" t="str">
        <f t="shared" si="1"/>
        <v/>
      </c>
      <c r="K109" s="8" t="s">
        <v>19</v>
      </c>
      <c r="L109" s="11">
        <v>20</v>
      </c>
      <c r="M109" s="11">
        <v>10</v>
      </c>
      <c r="N109" s="11">
        <v>20</v>
      </c>
    </row>
    <row r="110" spans="1:14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21"/>
      <c r="J110" s="21" t="str">
        <f t="shared" si="1"/>
        <v/>
      </c>
      <c r="K110" s="8" t="s">
        <v>23</v>
      </c>
      <c r="L110" s="11">
        <v>0</v>
      </c>
      <c r="M110" s="11">
        <v>1</v>
      </c>
      <c r="N110" s="11">
        <v>4</v>
      </c>
    </row>
    <row r="111" spans="1:14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21">
        <v>30</v>
      </c>
      <c r="J111" s="21">
        <f t="shared" si="1"/>
        <v>30</v>
      </c>
      <c r="K111" s="8" t="s">
        <v>19</v>
      </c>
      <c r="L111" s="11">
        <v>20</v>
      </c>
      <c r="M111" s="11">
        <v>15</v>
      </c>
      <c r="N111" s="11">
        <v>50</v>
      </c>
    </row>
    <row r="112" spans="1:14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21"/>
      <c r="J112" s="21" t="str">
        <f t="shared" si="1"/>
        <v/>
      </c>
      <c r="K112" s="8" t="s">
        <v>19</v>
      </c>
      <c r="L112" s="11">
        <v>20</v>
      </c>
      <c r="M112" s="11">
        <v>5</v>
      </c>
      <c r="N112" s="11">
        <v>25</v>
      </c>
    </row>
    <row r="113" spans="1:14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21"/>
      <c r="J113" s="21" t="str">
        <f t="shared" si="1"/>
        <v/>
      </c>
      <c r="K113" s="8" t="s">
        <v>23</v>
      </c>
      <c r="L113" s="11">
        <v>0</v>
      </c>
      <c r="M113" s="11">
        <v>0</v>
      </c>
      <c r="N113" s="11">
        <v>5</v>
      </c>
    </row>
    <row r="114" spans="1:14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21">
        <v>30</v>
      </c>
      <c r="J114" s="21">
        <f t="shared" si="1"/>
        <v>30</v>
      </c>
      <c r="K114" s="8" t="s">
        <v>19</v>
      </c>
      <c r="L114" s="11">
        <v>20</v>
      </c>
      <c r="M114" s="11">
        <v>20</v>
      </c>
      <c r="N114" s="11">
        <v>45</v>
      </c>
    </row>
    <row r="115" spans="1:14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21"/>
      <c r="J115" s="21" t="str">
        <f t="shared" si="1"/>
        <v/>
      </c>
      <c r="K115" s="8" t="s">
        <v>19</v>
      </c>
      <c r="L115" s="11">
        <v>20</v>
      </c>
      <c r="M115" s="11">
        <v>12</v>
      </c>
      <c r="N115" s="11">
        <v>18</v>
      </c>
    </row>
    <row r="116" spans="1:14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21"/>
      <c r="J116" s="21" t="str">
        <f t="shared" si="1"/>
        <v/>
      </c>
      <c r="K116" s="8" t="s">
        <v>23</v>
      </c>
      <c r="L116" s="11">
        <v>0</v>
      </c>
      <c r="M116" s="11">
        <v>2</v>
      </c>
      <c r="N116" s="11">
        <v>3</v>
      </c>
    </row>
    <row r="117" spans="1:14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21">
        <v>30</v>
      </c>
      <c r="J117" s="21">
        <f t="shared" si="1"/>
        <v>30</v>
      </c>
      <c r="K117" s="8" t="s">
        <v>19</v>
      </c>
      <c r="L117" s="11">
        <v>20</v>
      </c>
      <c r="M117" s="11">
        <v>5</v>
      </c>
      <c r="N117" s="11">
        <v>60</v>
      </c>
    </row>
    <row r="118" spans="1:14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21"/>
      <c r="J118" s="21" t="str">
        <f t="shared" si="1"/>
        <v/>
      </c>
      <c r="K118" s="8" t="s">
        <v>19</v>
      </c>
      <c r="L118" s="11">
        <v>20</v>
      </c>
      <c r="M118" s="11">
        <v>10</v>
      </c>
      <c r="N118" s="11">
        <v>20</v>
      </c>
    </row>
    <row r="119" spans="1:14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21"/>
      <c r="J119" s="21" t="str">
        <f t="shared" si="1"/>
        <v/>
      </c>
      <c r="K119" s="8" t="s">
        <v>23</v>
      </c>
      <c r="L119" s="11">
        <v>0</v>
      </c>
      <c r="M119" s="11">
        <v>0</v>
      </c>
      <c r="N119" s="11">
        <v>5</v>
      </c>
    </row>
    <row r="120" spans="1:14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21">
        <v>30</v>
      </c>
      <c r="J120" s="21">
        <f t="shared" si="1"/>
        <v>30</v>
      </c>
      <c r="K120" s="8" t="s">
        <v>19</v>
      </c>
      <c r="L120" s="11">
        <v>20</v>
      </c>
      <c r="M120" s="11">
        <v>3</v>
      </c>
      <c r="N120" s="11">
        <v>62</v>
      </c>
    </row>
    <row r="121" spans="1:14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21"/>
      <c r="J121" s="21" t="str">
        <f t="shared" si="1"/>
        <v/>
      </c>
      <c r="K121" s="8" t="s">
        <v>19</v>
      </c>
      <c r="L121" s="11">
        <v>20</v>
      </c>
      <c r="M121" s="11">
        <v>15</v>
      </c>
      <c r="N121" s="11">
        <v>15</v>
      </c>
    </row>
    <row r="122" spans="1:14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21"/>
      <c r="J122" s="21" t="str">
        <f t="shared" si="1"/>
        <v/>
      </c>
      <c r="K122" s="8" t="s">
        <v>23</v>
      </c>
      <c r="L122" s="11">
        <v>0</v>
      </c>
      <c r="M122" s="11">
        <v>1</v>
      </c>
      <c r="N122" s="11">
        <v>4</v>
      </c>
    </row>
    <row r="123" spans="1:14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21">
        <v>30</v>
      </c>
      <c r="J123" s="21">
        <f t="shared" si="1"/>
        <v>30</v>
      </c>
      <c r="K123" s="8" t="s">
        <v>19</v>
      </c>
      <c r="L123" s="11">
        <v>20</v>
      </c>
      <c r="M123" s="11">
        <v>7</v>
      </c>
      <c r="N123" s="11">
        <v>58</v>
      </c>
    </row>
    <row r="124" spans="1:14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21"/>
      <c r="J124" s="21" t="str">
        <f t="shared" si="1"/>
        <v/>
      </c>
      <c r="K124" s="8" t="s">
        <v>19</v>
      </c>
      <c r="L124" s="11">
        <v>20</v>
      </c>
      <c r="M124" s="11">
        <v>10</v>
      </c>
      <c r="N124" s="11">
        <v>20</v>
      </c>
    </row>
    <row r="125" spans="1:14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21"/>
      <c r="J125" s="21" t="str">
        <f t="shared" si="1"/>
        <v/>
      </c>
      <c r="K125" s="8" t="s">
        <v>23</v>
      </c>
      <c r="L125" s="11">
        <v>0</v>
      </c>
      <c r="M125" s="11">
        <v>0</v>
      </c>
      <c r="N125" s="11">
        <v>5</v>
      </c>
    </row>
    <row r="126" spans="1:14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21">
        <v>30</v>
      </c>
      <c r="J126" s="21">
        <f t="shared" si="1"/>
        <v>30</v>
      </c>
      <c r="K126" s="8" t="s">
        <v>19</v>
      </c>
      <c r="L126" s="11">
        <v>20</v>
      </c>
      <c r="M126" s="11">
        <v>20</v>
      </c>
      <c r="N126" s="11">
        <v>45</v>
      </c>
    </row>
    <row r="127" spans="1:14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21"/>
      <c r="J127" s="21" t="str">
        <f t="shared" si="1"/>
        <v/>
      </c>
      <c r="K127" s="8" t="s">
        <v>19</v>
      </c>
      <c r="L127" s="11">
        <v>20</v>
      </c>
      <c r="M127" s="11">
        <v>15</v>
      </c>
      <c r="N127" s="11">
        <v>15</v>
      </c>
    </row>
    <row r="128" spans="1:14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21"/>
      <c r="J128" s="21" t="str">
        <f t="shared" si="1"/>
        <v/>
      </c>
      <c r="K128" s="8" t="s">
        <v>23</v>
      </c>
      <c r="L128" s="11">
        <v>0</v>
      </c>
      <c r="M128" s="11">
        <v>1</v>
      </c>
      <c r="N128" s="11">
        <v>4</v>
      </c>
    </row>
    <row r="129" spans="1:14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21">
        <v>30</v>
      </c>
      <c r="J129" s="21">
        <f t="shared" si="1"/>
        <v>30</v>
      </c>
      <c r="K129" s="8" t="s">
        <v>19</v>
      </c>
      <c r="L129" s="11">
        <v>20</v>
      </c>
      <c r="M129" s="11">
        <v>3</v>
      </c>
      <c r="N129" s="11">
        <v>62</v>
      </c>
    </row>
    <row r="130" spans="1:14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21"/>
      <c r="J130" s="21" t="str">
        <f t="shared" ref="J130:J193" si="2">IF(I130="","",VALUE(I130))</f>
        <v/>
      </c>
      <c r="K130" s="8" t="s">
        <v>19</v>
      </c>
      <c r="L130" s="11">
        <v>20</v>
      </c>
      <c r="M130" s="11">
        <v>10</v>
      </c>
      <c r="N130" s="11">
        <v>20</v>
      </c>
    </row>
    <row r="131" spans="1:14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21"/>
      <c r="J131" s="21" t="str">
        <f t="shared" si="2"/>
        <v/>
      </c>
      <c r="K131" s="8" t="s">
        <v>23</v>
      </c>
      <c r="L131" s="11">
        <v>0</v>
      </c>
      <c r="M131" s="11">
        <v>0</v>
      </c>
      <c r="N131" s="11">
        <v>5</v>
      </c>
    </row>
    <row r="132" spans="1:14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21">
        <v>30</v>
      </c>
      <c r="J132" s="21">
        <f t="shared" si="2"/>
        <v>30</v>
      </c>
      <c r="K132" s="8" t="s">
        <v>19</v>
      </c>
      <c r="L132" s="11">
        <v>20</v>
      </c>
      <c r="M132" s="11">
        <v>15</v>
      </c>
      <c r="N132" s="11">
        <v>50</v>
      </c>
    </row>
    <row r="133" spans="1:14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21"/>
      <c r="J133" s="21" t="str">
        <f t="shared" si="2"/>
        <v/>
      </c>
      <c r="K133" s="8" t="s">
        <v>19</v>
      </c>
      <c r="L133" s="11">
        <v>20</v>
      </c>
      <c r="M133" s="11">
        <v>15</v>
      </c>
      <c r="N133" s="11">
        <v>15</v>
      </c>
    </row>
    <row r="134" spans="1:14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21"/>
      <c r="J134" s="21" t="str">
        <f t="shared" si="2"/>
        <v/>
      </c>
      <c r="K134" s="8" t="s">
        <v>23</v>
      </c>
      <c r="L134" s="11">
        <v>0</v>
      </c>
      <c r="M134" s="11">
        <v>1</v>
      </c>
      <c r="N134" s="11">
        <v>4</v>
      </c>
    </row>
    <row r="135" spans="1:14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21">
        <v>30</v>
      </c>
      <c r="J135" s="21">
        <f t="shared" si="2"/>
        <v>30</v>
      </c>
      <c r="K135" s="8" t="s">
        <v>19</v>
      </c>
      <c r="L135" s="11">
        <v>20</v>
      </c>
      <c r="M135" s="11">
        <v>7</v>
      </c>
      <c r="N135" s="11">
        <v>58</v>
      </c>
    </row>
    <row r="136" spans="1:14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21"/>
      <c r="J136" s="21" t="str">
        <f t="shared" si="2"/>
        <v/>
      </c>
      <c r="K136" s="8" t="s">
        <v>19</v>
      </c>
      <c r="L136" s="11">
        <v>20</v>
      </c>
      <c r="M136" s="11">
        <v>10</v>
      </c>
      <c r="N136" s="11">
        <v>20</v>
      </c>
    </row>
    <row r="137" spans="1:14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21"/>
      <c r="J137" s="21" t="str">
        <f t="shared" si="2"/>
        <v/>
      </c>
      <c r="K137" s="8" t="s">
        <v>23</v>
      </c>
      <c r="L137" s="11">
        <v>0</v>
      </c>
      <c r="M137" s="11">
        <v>0</v>
      </c>
      <c r="N137" s="11">
        <v>5</v>
      </c>
    </row>
    <row r="138" spans="1:14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21">
        <v>30</v>
      </c>
      <c r="J138" s="21">
        <f t="shared" si="2"/>
        <v>30</v>
      </c>
      <c r="K138" s="8" t="s">
        <v>19</v>
      </c>
      <c r="L138" s="11">
        <v>20</v>
      </c>
      <c r="M138" s="11">
        <v>7</v>
      </c>
      <c r="N138" s="11">
        <v>58</v>
      </c>
    </row>
    <row r="139" spans="1:14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21"/>
      <c r="J139" s="21" t="str">
        <f t="shared" si="2"/>
        <v/>
      </c>
      <c r="K139" s="8" t="s">
        <v>19</v>
      </c>
      <c r="L139" s="11">
        <v>20</v>
      </c>
      <c r="M139" s="11">
        <v>10</v>
      </c>
      <c r="N139" s="11">
        <v>20</v>
      </c>
    </row>
    <row r="140" spans="1:14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21"/>
      <c r="J140" s="21" t="str">
        <f t="shared" si="2"/>
        <v/>
      </c>
      <c r="K140" s="8" t="s">
        <v>23</v>
      </c>
      <c r="L140" s="11">
        <v>0</v>
      </c>
      <c r="M140" s="11">
        <v>1</v>
      </c>
      <c r="N140" s="11">
        <v>4</v>
      </c>
    </row>
    <row r="141" spans="1:14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21">
        <v>30</v>
      </c>
      <c r="J141" s="21">
        <f t="shared" si="2"/>
        <v>30</v>
      </c>
      <c r="K141" s="8" t="s">
        <v>19</v>
      </c>
      <c r="L141" s="11">
        <v>20</v>
      </c>
      <c r="M141" s="11">
        <v>15</v>
      </c>
      <c r="N141" s="11">
        <v>50</v>
      </c>
    </row>
    <row r="142" spans="1:14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21"/>
      <c r="J142" s="21" t="str">
        <f t="shared" si="2"/>
        <v/>
      </c>
      <c r="K142" s="8" t="s">
        <v>19</v>
      </c>
      <c r="L142" s="11">
        <v>20</v>
      </c>
      <c r="M142" s="11">
        <v>5</v>
      </c>
      <c r="N142" s="11">
        <v>25</v>
      </c>
    </row>
    <row r="143" spans="1:14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21"/>
      <c r="J143" s="21" t="str">
        <f t="shared" si="2"/>
        <v/>
      </c>
      <c r="K143" s="8" t="s">
        <v>23</v>
      </c>
      <c r="L143" s="11">
        <v>0</v>
      </c>
      <c r="M143" s="11">
        <v>0</v>
      </c>
      <c r="N143" s="11">
        <v>5</v>
      </c>
    </row>
    <row r="144" spans="1:14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21">
        <v>30</v>
      </c>
      <c r="J144" s="21">
        <f t="shared" si="2"/>
        <v>30</v>
      </c>
      <c r="K144" s="8" t="s">
        <v>19</v>
      </c>
      <c r="L144" s="11">
        <v>20</v>
      </c>
      <c r="M144" s="11">
        <v>20</v>
      </c>
      <c r="N144" s="11">
        <v>45</v>
      </c>
    </row>
    <row r="145" spans="1:14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21"/>
      <c r="J145" s="21" t="str">
        <f t="shared" si="2"/>
        <v/>
      </c>
      <c r="K145" s="8" t="s">
        <v>19</v>
      </c>
      <c r="L145" s="11">
        <v>20</v>
      </c>
      <c r="M145" s="11">
        <v>12</v>
      </c>
      <c r="N145" s="11">
        <v>18</v>
      </c>
    </row>
    <row r="146" spans="1:14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21"/>
      <c r="J146" s="21" t="str">
        <f t="shared" si="2"/>
        <v/>
      </c>
      <c r="K146" s="8" t="s">
        <v>23</v>
      </c>
      <c r="L146" s="11">
        <v>0</v>
      </c>
      <c r="M146" s="11">
        <v>2</v>
      </c>
      <c r="N146" s="11">
        <v>3</v>
      </c>
    </row>
    <row r="147" spans="1:14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21">
        <v>30</v>
      </c>
      <c r="J147" s="21">
        <f t="shared" si="2"/>
        <v>30</v>
      </c>
      <c r="K147" s="8" t="s">
        <v>19</v>
      </c>
      <c r="L147" s="11">
        <v>20</v>
      </c>
      <c r="M147" s="11">
        <v>5</v>
      </c>
      <c r="N147" s="11">
        <v>60</v>
      </c>
    </row>
    <row r="148" spans="1:14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21"/>
      <c r="J148" s="21" t="str">
        <f t="shared" si="2"/>
        <v/>
      </c>
      <c r="K148" s="8" t="s">
        <v>19</v>
      </c>
      <c r="L148" s="11">
        <v>20</v>
      </c>
      <c r="M148" s="11">
        <v>10</v>
      </c>
      <c r="N148" s="11">
        <v>20</v>
      </c>
    </row>
    <row r="149" spans="1:14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21"/>
      <c r="J149" s="21" t="str">
        <f t="shared" si="2"/>
        <v/>
      </c>
      <c r="K149" s="8" t="s">
        <v>23</v>
      </c>
      <c r="L149" s="11">
        <v>0</v>
      </c>
      <c r="M149" s="11">
        <v>0</v>
      </c>
      <c r="N149" s="11">
        <v>5</v>
      </c>
    </row>
    <row r="150" spans="1:14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21">
        <v>30</v>
      </c>
      <c r="J150" s="21">
        <f t="shared" si="2"/>
        <v>30</v>
      </c>
      <c r="K150" s="8" t="s">
        <v>19</v>
      </c>
      <c r="L150" s="11">
        <v>20</v>
      </c>
      <c r="M150" s="11">
        <v>3</v>
      </c>
      <c r="N150" s="11">
        <v>62</v>
      </c>
    </row>
    <row r="151" spans="1:14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21"/>
      <c r="J151" s="21" t="str">
        <f t="shared" si="2"/>
        <v/>
      </c>
      <c r="K151" s="8" t="s">
        <v>19</v>
      </c>
      <c r="L151" s="11">
        <v>20</v>
      </c>
      <c r="M151" s="11">
        <v>15</v>
      </c>
      <c r="N151" s="11">
        <v>15</v>
      </c>
    </row>
    <row r="152" spans="1:14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21"/>
      <c r="J152" s="21" t="str">
        <f t="shared" si="2"/>
        <v/>
      </c>
      <c r="K152" s="8" t="s">
        <v>23</v>
      </c>
      <c r="L152" s="11">
        <v>0</v>
      </c>
      <c r="M152" s="11">
        <v>1</v>
      </c>
      <c r="N152" s="11">
        <v>4</v>
      </c>
    </row>
    <row r="153" spans="1:14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21">
        <v>30</v>
      </c>
      <c r="J153" s="21">
        <f t="shared" si="2"/>
        <v>30</v>
      </c>
      <c r="K153" s="8" t="s">
        <v>19</v>
      </c>
      <c r="L153" s="11">
        <v>20</v>
      </c>
      <c r="M153" s="11">
        <v>7</v>
      </c>
      <c r="N153" s="11">
        <v>58</v>
      </c>
    </row>
    <row r="154" spans="1:14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21"/>
      <c r="J154" s="21" t="str">
        <f t="shared" si="2"/>
        <v/>
      </c>
      <c r="K154" s="8" t="s">
        <v>19</v>
      </c>
      <c r="L154" s="11">
        <v>20</v>
      </c>
      <c r="M154" s="11">
        <v>10</v>
      </c>
      <c r="N154" s="11">
        <v>20</v>
      </c>
    </row>
    <row r="155" spans="1:14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21"/>
      <c r="J155" s="21" t="str">
        <f t="shared" si="2"/>
        <v/>
      </c>
      <c r="K155" s="8" t="s">
        <v>23</v>
      </c>
      <c r="L155" s="11">
        <v>0</v>
      </c>
      <c r="M155" s="11">
        <v>0</v>
      </c>
      <c r="N155" s="11">
        <v>5</v>
      </c>
    </row>
    <row r="156" spans="1:14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21">
        <v>30</v>
      </c>
      <c r="J156" s="21">
        <f t="shared" si="2"/>
        <v>30</v>
      </c>
      <c r="K156" s="8" t="s">
        <v>19</v>
      </c>
      <c r="L156" s="11">
        <v>20</v>
      </c>
      <c r="M156" s="11">
        <v>20</v>
      </c>
      <c r="N156" s="11">
        <v>45</v>
      </c>
    </row>
    <row r="157" spans="1:14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21"/>
      <c r="J157" s="21" t="str">
        <f t="shared" si="2"/>
        <v/>
      </c>
      <c r="K157" s="8" t="s">
        <v>19</v>
      </c>
      <c r="L157" s="11">
        <v>20</v>
      </c>
      <c r="M157" s="11">
        <v>15</v>
      </c>
      <c r="N157" s="11">
        <v>15</v>
      </c>
    </row>
    <row r="158" spans="1:14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21"/>
      <c r="J158" s="21" t="str">
        <f t="shared" si="2"/>
        <v/>
      </c>
      <c r="K158" s="8" t="s">
        <v>23</v>
      </c>
      <c r="L158" s="11">
        <v>0</v>
      </c>
      <c r="M158" s="11">
        <v>1</v>
      </c>
      <c r="N158" s="11">
        <v>4</v>
      </c>
    </row>
    <row r="159" spans="1:14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21">
        <v>30</v>
      </c>
      <c r="J159" s="21">
        <f t="shared" si="2"/>
        <v>30</v>
      </c>
      <c r="K159" s="8" t="s">
        <v>19</v>
      </c>
      <c r="L159" s="11">
        <v>20</v>
      </c>
      <c r="M159" s="11">
        <v>3</v>
      </c>
      <c r="N159" s="11">
        <v>62</v>
      </c>
    </row>
    <row r="160" spans="1:14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21"/>
      <c r="J160" s="21" t="str">
        <f t="shared" si="2"/>
        <v/>
      </c>
      <c r="K160" s="8" t="s">
        <v>19</v>
      </c>
      <c r="L160" s="11">
        <v>20</v>
      </c>
      <c r="M160" s="11">
        <v>10</v>
      </c>
      <c r="N160" s="11">
        <v>20</v>
      </c>
    </row>
    <row r="161" spans="1:14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21"/>
      <c r="J161" s="21" t="str">
        <f t="shared" si="2"/>
        <v/>
      </c>
      <c r="K161" s="8" t="s">
        <v>23</v>
      </c>
      <c r="L161" s="11">
        <v>0</v>
      </c>
      <c r="M161" s="11">
        <v>0</v>
      </c>
      <c r="N161" s="11">
        <v>5</v>
      </c>
    </row>
    <row r="162" spans="1:14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21">
        <v>30</v>
      </c>
      <c r="J162" s="21">
        <f t="shared" si="2"/>
        <v>30</v>
      </c>
      <c r="K162" s="8" t="s">
        <v>19</v>
      </c>
      <c r="L162" s="11">
        <v>20</v>
      </c>
      <c r="M162" s="11">
        <v>15</v>
      </c>
      <c r="N162" s="11">
        <v>50</v>
      </c>
    </row>
    <row r="163" spans="1:14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21"/>
      <c r="J163" s="21" t="str">
        <f t="shared" si="2"/>
        <v/>
      </c>
      <c r="K163" s="8" t="s">
        <v>19</v>
      </c>
      <c r="L163" s="11">
        <v>20</v>
      </c>
      <c r="M163" s="11">
        <v>15</v>
      </c>
      <c r="N163" s="11">
        <v>15</v>
      </c>
    </row>
    <row r="164" spans="1:14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21"/>
      <c r="J164" s="21" t="str">
        <f t="shared" si="2"/>
        <v/>
      </c>
      <c r="K164" s="8" t="s">
        <v>23</v>
      </c>
      <c r="L164" s="11">
        <v>0</v>
      </c>
      <c r="M164" s="11">
        <v>1</v>
      </c>
      <c r="N164" s="11">
        <v>4</v>
      </c>
    </row>
    <row r="165" spans="1:14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21">
        <v>30</v>
      </c>
      <c r="J165" s="21">
        <f t="shared" si="2"/>
        <v>30</v>
      </c>
      <c r="K165" s="8" t="s">
        <v>19</v>
      </c>
      <c r="L165" s="11">
        <v>20</v>
      </c>
      <c r="M165" s="11">
        <v>7</v>
      </c>
      <c r="N165" s="11">
        <v>58</v>
      </c>
    </row>
    <row r="166" spans="1:14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21"/>
      <c r="J166" s="21" t="str">
        <f t="shared" si="2"/>
        <v/>
      </c>
      <c r="K166" s="8" t="s">
        <v>19</v>
      </c>
      <c r="L166" s="11">
        <v>20</v>
      </c>
      <c r="M166" s="11">
        <v>10</v>
      </c>
      <c r="N166" s="11">
        <v>20</v>
      </c>
    </row>
    <row r="167" spans="1:14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21"/>
      <c r="J167" s="21" t="str">
        <f t="shared" si="2"/>
        <v/>
      </c>
      <c r="K167" s="8" t="s">
        <v>23</v>
      </c>
      <c r="L167" s="11">
        <v>0</v>
      </c>
      <c r="M167" s="11">
        <v>0</v>
      </c>
      <c r="N167" s="11">
        <v>5</v>
      </c>
    </row>
    <row r="168" spans="1:14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21">
        <v>30</v>
      </c>
      <c r="J168" s="21">
        <f t="shared" si="2"/>
        <v>30</v>
      </c>
      <c r="K168" s="8" t="s">
        <v>19</v>
      </c>
      <c r="L168" s="11">
        <v>20</v>
      </c>
      <c r="M168" s="11">
        <v>20</v>
      </c>
      <c r="N168" s="11">
        <v>45</v>
      </c>
    </row>
    <row r="169" spans="1:14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21"/>
      <c r="J169" s="21" t="str">
        <f t="shared" si="2"/>
        <v/>
      </c>
      <c r="K169" s="8" t="s">
        <v>19</v>
      </c>
      <c r="L169" s="11">
        <v>20</v>
      </c>
      <c r="M169" s="11">
        <v>15</v>
      </c>
      <c r="N169" s="11">
        <v>15</v>
      </c>
    </row>
    <row r="170" spans="1:14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21"/>
      <c r="J170" s="21" t="str">
        <f t="shared" si="2"/>
        <v/>
      </c>
      <c r="K170" s="8" t="s">
        <v>23</v>
      </c>
      <c r="L170" s="11">
        <v>0</v>
      </c>
      <c r="M170" s="11">
        <v>1</v>
      </c>
      <c r="N170" s="11">
        <v>4</v>
      </c>
    </row>
    <row r="171" spans="1:14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21">
        <v>30</v>
      </c>
      <c r="J171" s="21">
        <f t="shared" si="2"/>
        <v>30</v>
      </c>
      <c r="K171" s="8" t="s">
        <v>19</v>
      </c>
      <c r="L171" s="11">
        <v>20</v>
      </c>
      <c r="M171" s="11">
        <v>5</v>
      </c>
      <c r="N171" s="11">
        <v>60</v>
      </c>
    </row>
    <row r="172" spans="1:14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21"/>
      <c r="J172" s="21" t="str">
        <f t="shared" si="2"/>
        <v/>
      </c>
      <c r="K172" s="8" t="s">
        <v>19</v>
      </c>
      <c r="L172" s="11">
        <v>20</v>
      </c>
      <c r="M172" s="11">
        <v>10</v>
      </c>
      <c r="N172" s="11">
        <v>20</v>
      </c>
    </row>
    <row r="173" spans="1:14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21"/>
      <c r="J173" s="21" t="str">
        <f t="shared" si="2"/>
        <v/>
      </c>
      <c r="K173" s="8" t="s">
        <v>23</v>
      </c>
      <c r="L173" s="11">
        <v>0</v>
      </c>
      <c r="M173" s="11">
        <v>0</v>
      </c>
      <c r="N173" s="11">
        <v>5</v>
      </c>
    </row>
    <row r="174" spans="1:14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21">
        <v>30</v>
      </c>
      <c r="J174" s="21">
        <f t="shared" si="2"/>
        <v>30</v>
      </c>
      <c r="K174" s="8" t="s">
        <v>19</v>
      </c>
      <c r="L174" s="11">
        <v>20</v>
      </c>
      <c r="M174" s="11">
        <v>3</v>
      </c>
      <c r="N174" s="11">
        <v>62</v>
      </c>
    </row>
    <row r="175" spans="1:14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21"/>
      <c r="J175" s="21" t="str">
        <f t="shared" si="2"/>
        <v/>
      </c>
      <c r="K175" s="8" t="s">
        <v>19</v>
      </c>
      <c r="L175" s="11">
        <v>20</v>
      </c>
      <c r="M175" s="11">
        <v>15</v>
      </c>
      <c r="N175" s="11">
        <v>15</v>
      </c>
    </row>
    <row r="176" spans="1:14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21"/>
      <c r="J176" s="21" t="str">
        <f t="shared" si="2"/>
        <v/>
      </c>
      <c r="K176" s="8" t="s">
        <v>23</v>
      </c>
      <c r="L176" s="11">
        <v>0</v>
      </c>
      <c r="M176" s="11">
        <v>1</v>
      </c>
      <c r="N176" s="11">
        <v>4</v>
      </c>
    </row>
    <row r="177" spans="1:14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21"/>
      <c r="J177" s="21" t="str">
        <f t="shared" si="2"/>
        <v/>
      </c>
      <c r="K177" s="8" t="s">
        <v>23</v>
      </c>
      <c r="L177" s="11">
        <v>0</v>
      </c>
      <c r="M177" s="11">
        <v>0</v>
      </c>
      <c r="N177" s="11">
        <v>5</v>
      </c>
    </row>
    <row r="178" spans="1:14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21">
        <v>30</v>
      </c>
      <c r="J178" s="21">
        <f t="shared" si="2"/>
        <v>30</v>
      </c>
      <c r="K178" s="8" t="s">
        <v>19</v>
      </c>
      <c r="L178" s="11">
        <v>20</v>
      </c>
      <c r="M178" s="11">
        <v>7</v>
      </c>
      <c r="N178" s="11">
        <v>58</v>
      </c>
    </row>
    <row r="179" spans="1:14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21"/>
      <c r="J179" s="21" t="str">
        <f t="shared" si="2"/>
        <v/>
      </c>
      <c r="K179" s="8" t="s">
        <v>19</v>
      </c>
      <c r="L179" s="11">
        <v>20</v>
      </c>
      <c r="M179" s="11">
        <v>10</v>
      </c>
      <c r="N179" s="11">
        <v>20</v>
      </c>
    </row>
    <row r="180" spans="1:14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21"/>
      <c r="J180" s="21" t="str">
        <f t="shared" si="2"/>
        <v/>
      </c>
      <c r="K180" s="8" t="s">
        <v>23</v>
      </c>
      <c r="L180" s="11">
        <v>0</v>
      </c>
      <c r="M180" s="11">
        <v>1</v>
      </c>
      <c r="N180" s="11">
        <v>4</v>
      </c>
    </row>
    <row r="181" spans="1:14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21">
        <v>30</v>
      </c>
      <c r="J181" s="21">
        <f t="shared" si="2"/>
        <v>30</v>
      </c>
      <c r="K181" s="8" t="s">
        <v>19</v>
      </c>
      <c r="L181" s="11">
        <v>20</v>
      </c>
      <c r="M181" s="11">
        <v>15</v>
      </c>
      <c r="N181" s="11">
        <v>50</v>
      </c>
    </row>
    <row r="182" spans="1:14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21"/>
      <c r="J182" s="21" t="str">
        <f t="shared" si="2"/>
        <v/>
      </c>
      <c r="K182" s="8" t="s">
        <v>19</v>
      </c>
      <c r="L182" s="11">
        <v>20</v>
      </c>
      <c r="M182" s="11">
        <v>5</v>
      </c>
      <c r="N182" s="11">
        <v>25</v>
      </c>
    </row>
    <row r="183" spans="1:14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21"/>
      <c r="J183" s="21" t="str">
        <f t="shared" si="2"/>
        <v/>
      </c>
      <c r="K183" s="8" t="s">
        <v>23</v>
      </c>
      <c r="L183" s="11">
        <v>0</v>
      </c>
      <c r="M183" s="11">
        <v>0</v>
      </c>
      <c r="N183" s="11">
        <v>5</v>
      </c>
    </row>
    <row r="184" spans="1:14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21">
        <v>30</v>
      </c>
      <c r="J184" s="21">
        <f t="shared" si="2"/>
        <v>30</v>
      </c>
      <c r="K184" s="8" t="s">
        <v>19</v>
      </c>
      <c r="L184" s="11">
        <v>20</v>
      </c>
      <c r="M184" s="11">
        <v>20</v>
      </c>
      <c r="N184" s="11">
        <v>45</v>
      </c>
    </row>
    <row r="185" spans="1:14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21"/>
      <c r="J185" s="21" t="str">
        <f t="shared" si="2"/>
        <v/>
      </c>
      <c r="K185" s="8" t="s">
        <v>19</v>
      </c>
      <c r="L185" s="11">
        <v>20</v>
      </c>
      <c r="M185" s="11">
        <v>12</v>
      </c>
      <c r="N185" s="11">
        <v>18</v>
      </c>
    </row>
    <row r="186" spans="1:14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21"/>
      <c r="J186" s="21" t="str">
        <f t="shared" si="2"/>
        <v/>
      </c>
      <c r="K186" s="8" t="s">
        <v>23</v>
      </c>
      <c r="L186" s="11">
        <v>0</v>
      </c>
      <c r="M186" s="11">
        <v>2</v>
      </c>
      <c r="N186" s="11">
        <v>3</v>
      </c>
    </row>
    <row r="187" spans="1:14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21">
        <v>30</v>
      </c>
      <c r="J187" s="21">
        <f t="shared" si="2"/>
        <v>30</v>
      </c>
      <c r="K187" s="8" t="s">
        <v>19</v>
      </c>
      <c r="L187" s="11">
        <v>20</v>
      </c>
      <c r="M187" s="11">
        <v>5</v>
      </c>
      <c r="N187" s="11">
        <v>60</v>
      </c>
    </row>
    <row r="188" spans="1:14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21"/>
      <c r="J188" s="21" t="str">
        <f t="shared" si="2"/>
        <v/>
      </c>
      <c r="K188" s="8" t="s">
        <v>19</v>
      </c>
      <c r="L188" s="11">
        <v>20</v>
      </c>
      <c r="M188" s="11">
        <v>10</v>
      </c>
      <c r="N188" s="11">
        <v>20</v>
      </c>
    </row>
    <row r="189" spans="1:14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21"/>
      <c r="J189" s="21" t="str">
        <f t="shared" si="2"/>
        <v/>
      </c>
      <c r="K189" s="8" t="s">
        <v>23</v>
      </c>
      <c r="L189" s="11">
        <v>0</v>
      </c>
      <c r="M189" s="11">
        <v>0</v>
      </c>
      <c r="N189" s="11">
        <v>5</v>
      </c>
    </row>
    <row r="190" spans="1:14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21">
        <v>30</v>
      </c>
      <c r="J190" s="21">
        <f t="shared" si="2"/>
        <v>30</v>
      </c>
      <c r="K190" s="8" t="s">
        <v>19</v>
      </c>
      <c r="L190" s="11">
        <v>20</v>
      </c>
      <c r="M190" s="11">
        <v>3</v>
      </c>
      <c r="N190" s="11">
        <v>62</v>
      </c>
    </row>
    <row r="191" spans="1:14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21"/>
      <c r="J191" s="21" t="str">
        <f t="shared" si="2"/>
        <v/>
      </c>
      <c r="K191" s="8" t="s">
        <v>19</v>
      </c>
      <c r="L191" s="11">
        <v>20</v>
      </c>
      <c r="M191" s="11">
        <v>15</v>
      </c>
      <c r="N191" s="11">
        <v>15</v>
      </c>
    </row>
    <row r="192" spans="1:14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21"/>
      <c r="J192" s="21" t="str">
        <f t="shared" si="2"/>
        <v/>
      </c>
      <c r="K192" s="8" t="s">
        <v>23</v>
      </c>
      <c r="L192" s="11">
        <v>0</v>
      </c>
      <c r="M192" s="11">
        <v>1</v>
      </c>
      <c r="N192" s="11">
        <v>4</v>
      </c>
    </row>
    <row r="193" spans="1:14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21">
        <v>30</v>
      </c>
      <c r="J193" s="21">
        <f t="shared" si="2"/>
        <v>30</v>
      </c>
      <c r="K193" s="8" t="s">
        <v>19</v>
      </c>
      <c r="L193" s="11">
        <v>20</v>
      </c>
      <c r="M193" s="11">
        <v>7</v>
      </c>
      <c r="N193" s="11">
        <v>58</v>
      </c>
    </row>
    <row r="194" spans="1:14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21"/>
      <c r="J194" s="21" t="str">
        <f t="shared" ref="J194:J257" si="3">IF(I194="","",VALUE(I194))</f>
        <v/>
      </c>
      <c r="K194" s="8" t="s">
        <v>19</v>
      </c>
      <c r="L194" s="11">
        <v>20</v>
      </c>
      <c r="M194" s="11">
        <v>10</v>
      </c>
      <c r="N194" s="11">
        <v>20</v>
      </c>
    </row>
    <row r="195" spans="1:14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21"/>
      <c r="J195" s="21" t="str">
        <f t="shared" si="3"/>
        <v/>
      </c>
      <c r="K195" s="8" t="s">
        <v>23</v>
      </c>
      <c r="L195" s="11">
        <v>0</v>
      </c>
      <c r="M195" s="11">
        <v>0</v>
      </c>
      <c r="N195" s="11">
        <v>5</v>
      </c>
    </row>
    <row r="196" spans="1:14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21">
        <v>30</v>
      </c>
      <c r="J196" s="21">
        <f t="shared" si="3"/>
        <v>30</v>
      </c>
      <c r="K196" s="8" t="s">
        <v>19</v>
      </c>
      <c r="L196" s="11">
        <v>20</v>
      </c>
      <c r="M196" s="11">
        <v>20</v>
      </c>
      <c r="N196" s="11">
        <v>45</v>
      </c>
    </row>
    <row r="197" spans="1:14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21"/>
      <c r="J197" s="21" t="str">
        <f t="shared" si="3"/>
        <v/>
      </c>
      <c r="K197" s="8" t="s">
        <v>19</v>
      </c>
      <c r="L197" s="11">
        <v>20</v>
      </c>
      <c r="M197" s="11">
        <v>15</v>
      </c>
      <c r="N197" s="11">
        <v>15</v>
      </c>
    </row>
    <row r="198" spans="1:14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21"/>
      <c r="J198" s="21" t="str">
        <f t="shared" si="3"/>
        <v/>
      </c>
      <c r="K198" s="8" t="s">
        <v>23</v>
      </c>
      <c r="L198" s="11">
        <v>0</v>
      </c>
      <c r="M198" s="11">
        <v>1</v>
      </c>
      <c r="N198" s="11">
        <v>4</v>
      </c>
    </row>
    <row r="199" spans="1:14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21">
        <v>30</v>
      </c>
      <c r="J199" s="21">
        <f t="shared" si="3"/>
        <v>30</v>
      </c>
      <c r="K199" s="8" t="s">
        <v>19</v>
      </c>
      <c r="L199" s="11">
        <v>20</v>
      </c>
      <c r="M199" s="11">
        <v>3</v>
      </c>
      <c r="N199" s="11">
        <v>62</v>
      </c>
    </row>
    <row r="200" spans="1:14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21"/>
      <c r="J200" s="21" t="str">
        <f t="shared" si="3"/>
        <v/>
      </c>
      <c r="K200" s="8" t="s">
        <v>19</v>
      </c>
      <c r="L200" s="11">
        <v>20</v>
      </c>
      <c r="M200" s="11">
        <v>10</v>
      </c>
      <c r="N200" s="11">
        <v>20</v>
      </c>
    </row>
    <row r="201" spans="1:14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21"/>
      <c r="J201" s="21" t="str">
        <f t="shared" si="3"/>
        <v/>
      </c>
      <c r="K201" s="8" t="s">
        <v>23</v>
      </c>
      <c r="L201" s="11">
        <v>0</v>
      </c>
      <c r="M201" s="11">
        <v>0</v>
      </c>
      <c r="N201" s="11">
        <v>5</v>
      </c>
    </row>
    <row r="202" spans="1:14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21">
        <v>30</v>
      </c>
      <c r="J202" s="21">
        <f t="shared" si="3"/>
        <v>30</v>
      </c>
      <c r="K202" s="8" t="s">
        <v>19</v>
      </c>
      <c r="L202" s="11">
        <v>20</v>
      </c>
      <c r="M202" s="11">
        <v>15</v>
      </c>
      <c r="N202" s="11">
        <v>50</v>
      </c>
    </row>
    <row r="203" spans="1:14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21"/>
      <c r="J203" s="21" t="str">
        <f t="shared" si="3"/>
        <v/>
      </c>
      <c r="K203" s="8" t="s">
        <v>19</v>
      </c>
      <c r="L203" s="11">
        <v>20</v>
      </c>
      <c r="M203" s="11">
        <v>15</v>
      </c>
      <c r="N203" s="11">
        <v>15</v>
      </c>
    </row>
    <row r="204" spans="1:14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21"/>
      <c r="J204" s="21" t="str">
        <f t="shared" si="3"/>
        <v/>
      </c>
      <c r="K204" s="8" t="s">
        <v>23</v>
      </c>
      <c r="L204" s="11">
        <v>0</v>
      </c>
      <c r="M204" s="11">
        <v>1</v>
      </c>
      <c r="N204" s="11">
        <v>4</v>
      </c>
    </row>
    <row r="205" spans="1:14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21">
        <v>30</v>
      </c>
      <c r="J205" s="21">
        <f t="shared" si="3"/>
        <v>30</v>
      </c>
      <c r="K205" s="8" t="s">
        <v>19</v>
      </c>
      <c r="L205" s="11">
        <v>20</v>
      </c>
      <c r="M205" s="11">
        <v>7</v>
      </c>
      <c r="N205" s="11">
        <v>58</v>
      </c>
    </row>
    <row r="206" spans="1:14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21"/>
      <c r="J206" s="21" t="str">
        <f t="shared" si="3"/>
        <v/>
      </c>
      <c r="K206" s="8" t="s">
        <v>19</v>
      </c>
      <c r="L206" s="11">
        <v>20</v>
      </c>
      <c r="M206" s="11">
        <v>10</v>
      </c>
      <c r="N206" s="11">
        <v>20</v>
      </c>
    </row>
    <row r="207" spans="1:14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21"/>
      <c r="J207" s="21" t="str">
        <f t="shared" si="3"/>
        <v/>
      </c>
      <c r="K207" s="8" t="s">
        <v>23</v>
      </c>
      <c r="L207" s="11">
        <v>0</v>
      </c>
      <c r="M207" s="11">
        <v>0</v>
      </c>
      <c r="N207" s="11">
        <v>5</v>
      </c>
    </row>
    <row r="208" spans="1:14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21">
        <v>30</v>
      </c>
      <c r="J208" s="21">
        <f t="shared" si="3"/>
        <v>30</v>
      </c>
      <c r="K208" s="8" t="s">
        <v>19</v>
      </c>
      <c r="L208" s="11">
        <v>20</v>
      </c>
      <c r="M208" s="11">
        <v>7</v>
      </c>
      <c r="N208" s="11">
        <v>58</v>
      </c>
    </row>
    <row r="209" spans="1:14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21"/>
      <c r="J209" s="21" t="str">
        <f t="shared" si="3"/>
        <v/>
      </c>
      <c r="K209" s="8" t="s">
        <v>19</v>
      </c>
      <c r="L209" s="11">
        <v>20</v>
      </c>
      <c r="M209" s="11">
        <v>10</v>
      </c>
      <c r="N209" s="11">
        <v>20</v>
      </c>
    </row>
    <row r="210" spans="1:14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21"/>
      <c r="J210" s="21" t="str">
        <f t="shared" si="3"/>
        <v/>
      </c>
      <c r="K210" s="8" t="s">
        <v>23</v>
      </c>
      <c r="L210" s="11">
        <v>0</v>
      </c>
      <c r="M210" s="11">
        <v>1</v>
      </c>
      <c r="N210" s="11">
        <v>4</v>
      </c>
    </row>
    <row r="211" spans="1:14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21">
        <v>30</v>
      </c>
      <c r="J211" s="21">
        <f t="shared" si="3"/>
        <v>30</v>
      </c>
      <c r="K211" s="8" t="s">
        <v>19</v>
      </c>
      <c r="L211" s="11">
        <v>20</v>
      </c>
      <c r="M211" s="11">
        <v>15</v>
      </c>
      <c r="N211" s="11">
        <v>50</v>
      </c>
    </row>
    <row r="212" spans="1:14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21"/>
      <c r="J212" s="21" t="str">
        <f t="shared" si="3"/>
        <v/>
      </c>
      <c r="K212" s="8" t="s">
        <v>19</v>
      </c>
      <c r="L212" s="11">
        <v>20</v>
      </c>
      <c r="M212" s="11">
        <v>5</v>
      </c>
      <c r="N212" s="11">
        <v>25</v>
      </c>
    </row>
    <row r="213" spans="1:14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21"/>
      <c r="J213" s="21" t="str">
        <f t="shared" si="3"/>
        <v/>
      </c>
      <c r="K213" s="8" t="s">
        <v>23</v>
      </c>
      <c r="L213" s="11">
        <v>0</v>
      </c>
      <c r="M213" s="11">
        <v>0</v>
      </c>
      <c r="N213" s="11">
        <v>5</v>
      </c>
    </row>
    <row r="214" spans="1:14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21">
        <v>30</v>
      </c>
      <c r="J214" s="21">
        <f t="shared" si="3"/>
        <v>30</v>
      </c>
      <c r="K214" s="8" t="s">
        <v>19</v>
      </c>
      <c r="L214" s="11">
        <v>20</v>
      </c>
      <c r="M214" s="11">
        <v>20</v>
      </c>
      <c r="N214" s="11">
        <v>45</v>
      </c>
    </row>
    <row r="215" spans="1:14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21"/>
      <c r="J215" s="21" t="str">
        <f t="shared" si="3"/>
        <v/>
      </c>
      <c r="K215" s="8" t="s">
        <v>19</v>
      </c>
      <c r="L215" s="11">
        <v>20</v>
      </c>
      <c r="M215" s="11">
        <v>12</v>
      </c>
      <c r="N215" s="11">
        <v>18</v>
      </c>
    </row>
    <row r="216" spans="1:14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21"/>
      <c r="J216" s="21" t="str">
        <f t="shared" si="3"/>
        <v/>
      </c>
      <c r="K216" s="8" t="s">
        <v>23</v>
      </c>
      <c r="L216" s="11">
        <v>0</v>
      </c>
      <c r="M216" s="11">
        <v>2</v>
      </c>
      <c r="N216" s="11">
        <v>3</v>
      </c>
    </row>
    <row r="217" spans="1:14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21">
        <v>30</v>
      </c>
      <c r="J217" s="21">
        <f t="shared" si="3"/>
        <v>30</v>
      </c>
      <c r="K217" s="8" t="s">
        <v>19</v>
      </c>
      <c r="L217" s="11">
        <v>20</v>
      </c>
      <c r="M217" s="11">
        <v>5</v>
      </c>
      <c r="N217" s="11">
        <v>60</v>
      </c>
    </row>
    <row r="218" spans="1:14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21"/>
      <c r="J218" s="21" t="str">
        <f t="shared" si="3"/>
        <v/>
      </c>
      <c r="K218" s="8" t="s">
        <v>19</v>
      </c>
      <c r="L218" s="11">
        <v>20</v>
      </c>
      <c r="M218" s="11">
        <v>10</v>
      </c>
      <c r="N218" s="11">
        <v>20</v>
      </c>
    </row>
    <row r="219" spans="1:14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21"/>
      <c r="J219" s="21" t="str">
        <f t="shared" si="3"/>
        <v/>
      </c>
      <c r="K219" s="8" t="s">
        <v>23</v>
      </c>
      <c r="L219" s="11">
        <v>0</v>
      </c>
      <c r="M219" s="11">
        <v>0</v>
      </c>
      <c r="N219" s="11">
        <v>5</v>
      </c>
    </row>
    <row r="220" spans="1:14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21">
        <v>30</v>
      </c>
      <c r="J220" s="21">
        <f t="shared" si="3"/>
        <v>30</v>
      </c>
      <c r="K220" s="8" t="s">
        <v>19</v>
      </c>
      <c r="L220" s="11">
        <v>20</v>
      </c>
      <c r="M220" s="11">
        <v>3</v>
      </c>
      <c r="N220" s="11">
        <v>62</v>
      </c>
    </row>
    <row r="221" spans="1:14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21"/>
      <c r="J221" s="21" t="str">
        <f t="shared" si="3"/>
        <v/>
      </c>
      <c r="K221" s="8" t="s">
        <v>19</v>
      </c>
      <c r="L221" s="11">
        <v>20</v>
      </c>
      <c r="M221" s="11">
        <v>15</v>
      </c>
      <c r="N221" s="11">
        <v>15</v>
      </c>
    </row>
    <row r="222" spans="1:14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21"/>
      <c r="J222" s="21" t="str">
        <f t="shared" si="3"/>
        <v/>
      </c>
      <c r="K222" s="8" t="s">
        <v>23</v>
      </c>
      <c r="L222" s="11">
        <v>0</v>
      </c>
      <c r="M222" s="11">
        <v>1</v>
      </c>
      <c r="N222" s="11">
        <v>4</v>
      </c>
    </row>
    <row r="223" spans="1:14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21">
        <v>30</v>
      </c>
      <c r="J223" s="21">
        <f t="shared" si="3"/>
        <v>30</v>
      </c>
      <c r="K223" s="8" t="s">
        <v>19</v>
      </c>
      <c r="L223" s="11">
        <v>20</v>
      </c>
      <c r="M223" s="11">
        <v>7</v>
      </c>
      <c r="N223" s="11">
        <v>58</v>
      </c>
    </row>
    <row r="224" spans="1:14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21"/>
      <c r="J224" s="21" t="str">
        <f t="shared" si="3"/>
        <v/>
      </c>
      <c r="K224" s="8" t="s">
        <v>19</v>
      </c>
      <c r="L224" s="11">
        <v>20</v>
      </c>
      <c r="M224" s="11">
        <v>10</v>
      </c>
      <c r="N224" s="11">
        <v>20</v>
      </c>
    </row>
    <row r="225" spans="1:14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21"/>
      <c r="J225" s="21" t="str">
        <f t="shared" si="3"/>
        <v/>
      </c>
      <c r="K225" s="8" t="s">
        <v>23</v>
      </c>
      <c r="L225" s="11">
        <v>0</v>
      </c>
      <c r="M225" s="11">
        <v>0</v>
      </c>
      <c r="N225" s="11">
        <v>5</v>
      </c>
    </row>
    <row r="226" spans="1:14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21">
        <v>30</v>
      </c>
      <c r="J226" s="21">
        <f t="shared" si="3"/>
        <v>30</v>
      </c>
      <c r="K226" s="8" t="s">
        <v>19</v>
      </c>
      <c r="L226" s="11">
        <v>20</v>
      </c>
      <c r="M226" s="11">
        <v>20</v>
      </c>
      <c r="N226" s="11">
        <v>45</v>
      </c>
    </row>
    <row r="227" spans="1:14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21"/>
      <c r="J227" s="21" t="str">
        <f t="shared" si="3"/>
        <v/>
      </c>
      <c r="K227" s="8" t="s">
        <v>19</v>
      </c>
      <c r="L227" s="11">
        <v>20</v>
      </c>
      <c r="M227" s="11">
        <v>15</v>
      </c>
      <c r="N227" s="11">
        <v>15</v>
      </c>
    </row>
    <row r="228" spans="1:14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21"/>
      <c r="J228" s="21" t="str">
        <f t="shared" si="3"/>
        <v/>
      </c>
      <c r="K228" s="8" t="s">
        <v>23</v>
      </c>
      <c r="L228" s="11">
        <v>0</v>
      </c>
      <c r="M228" s="11">
        <v>1</v>
      </c>
      <c r="N228" s="11">
        <v>4</v>
      </c>
    </row>
    <row r="229" spans="1:14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21">
        <v>30</v>
      </c>
      <c r="J229" s="21">
        <f t="shared" si="3"/>
        <v>30</v>
      </c>
      <c r="K229" s="8" t="s">
        <v>19</v>
      </c>
      <c r="L229" s="11">
        <v>20</v>
      </c>
      <c r="M229" s="11">
        <v>3</v>
      </c>
      <c r="N229" s="11">
        <v>62</v>
      </c>
    </row>
    <row r="230" spans="1:14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21"/>
      <c r="J230" s="21" t="str">
        <f t="shared" si="3"/>
        <v/>
      </c>
      <c r="K230" s="8" t="s">
        <v>19</v>
      </c>
      <c r="L230" s="11">
        <v>20</v>
      </c>
      <c r="M230" s="11">
        <v>10</v>
      </c>
      <c r="N230" s="11">
        <v>20</v>
      </c>
    </row>
    <row r="231" spans="1:14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21"/>
      <c r="J231" s="21" t="str">
        <f t="shared" si="3"/>
        <v/>
      </c>
      <c r="K231" s="8" t="s">
        <v>23</v>
      </c>
      <c r="L231" s="11">
        <v>0</v>
      </c>
      <c r="M231" s="11">
        <v>0</v>
      </c>
      <c r="N231" s="11">
        <v>5</v>
      </c>
    </row>
    <row r="232" spans="1:14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21">
        <v>30</v>
      </c>
      <c r="J232" s="21">
        <f t="shared" si="3"/>
        <v>30</v>
      </c>
      <c r="K232" s="8" t="s">
        <v>19</v>
      </c>
      <c r="L232" s="11">
        <v>20</v>
      </c>
      <c r="M232" s="11">
        <v>15</v>
      </c>
      <c r="N232" s="11">
        <v>50</v>
      </c>
    </row>
    <row r="233" spans="1:14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21"/>
      <c r="J233" s="21" t="str">
        <f t="shared" si="3"/>
        <v/>
      </c>
      <c r="K233" s="8" t="s">
        <v>19</v>
      </c>
      <c r="L233" s="11">
        <v>20</v>
      </c>
      <c r="M233" s="11">
        <v>15</v>
      </c>
      <c r="N233" s="11">
        <v>15</v>
      </c>
    </row>
    <row r="234" spans="1:14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21"/>
      <c r="J234" s="21" t="str">
        <f t="shared" si="3"/>
        <v/>
      </c>
      <c r="K234" s="8" t="s">
        <v>23</v>
      </c>
      <c r="L234" s="11">
        <v>0</v>
      </c>
      <c r="M234" s="11">
        <v>1</v>
      </c>
      <c r="N234" s="11">
        <v>4</v>
      </c>
    </row>
    <row r="235" spans="1:14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21">
        <v>30</v>
      </c>
      <c r="J235" s="21">
        <f t="shared" si="3"/>
        <v>30</v>
      </c>
      <c r="K235" s="8" t="s">
        <v>19</v>
      </c>
      <c r="L235" s="11">
        <v>20</v>
      </c>
      <c r="M235" s="11">
        <v>7</v>
      </c>
      <c r="N235" s="11">
        <v>58</v>
      </c>
    </row>
    <row r="236" spans="1:14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21"/>
      <c r="J236" s="21" t="str">
        <f t="shared" si="3"/>
        <v/>
      </c>
      <c r="K236" s="8" t="s">
        <v>19</v>
      </c>
      <c r="L236" s="11">
        <v>20</v>
      </c>
      <c r="M236" s="11">
        <v>10</v>
      </c>
      <c r="N236" s="11">
        <v>20</v>
      </c>
    </row>
    <row r="237" spans="1:14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21"/>
      <c r="J237" s="21" t="str">
        <f t="shared" si="3"/>
        <v/>
      </c>
      <c r="K237" s="8" t="s">
        <v>23</v>
      </c>
      <c r="L237" s="11">
        <v>0</v>
      </c>
      <c r="M237" s="11">
        <v>0</v>
      </c>
      <c r="N237" s="11">
        <v>5</v>
      </c>
    </row>
    <row r="238" spans="1:14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21">
        <v>30</v>
      </c>
      <c r="J238" s="21">
        <f t="shared" si="3"/>
        <v>30</v>
      </c>
      <c r="K238" s="8" t="s">
        <v>19</v>
      </c>
      <c r="L238" s="11">
        <v>20</v>
      </c>
      <c r="M238" s="11">
        <v>15</v>
      </c>
      <c r="N238" s="11">
        <v>50</v>
      </c>
    </row>
    <row r="239" spans="1:14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21"/>
      <c r="J239" s="21" t="str">
        <f t="shared" si="3"/>
        <v/>
      </c>
      <c r="K239" s="8" t="s">
        <v>19</v>
      </c>
      <c r="L239" s="11">
        <v>20</v>
      </c>
      <c r="M239" s="11">
        <v>12</v>
      </c>
      <c r="N239" s="11">
        <v>18</v>
      </c>
    </row>
    <row r="240" spans="1:14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21"/>
      <c r="J240" s="21" t="str">
        <f t="shared" si="3"/>
        <v/>
      </c>
      <c r="K240" s="8" t="s">
        <v>23</v>
      </c>
      <c r="L240" s="11">
        <v>0</v>
      </c>
      <c r="M240" s="11">
        <v>2</v>
      </c>
      <c r="N240" s="11">
        <v>3</v>
      </c>
    </row>
    <row r="241" spans="1:14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21">
        <v>30</v>
      </c>
      <c r="J241" s="21">
        <f t="shared" si="3"/>
        <v>30</v>
      </c>
      <c r="K241" s="8" t="s">
        <v>19</v>
      </c>
      <c r="L241" s="11">
        <v>20</v>
      </c>
      <c r="M241" s="11">
        <v>5</v>
      </c>
      <c r="N241" s="11">
        <v>60</v>
      </c>
    </row>
    <row r="242" spans="1:14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21"/>
      <c r="J242" s="21" t="str">
        <f t="shared" si="3"/>
        <v/>
      </c>
      <c r="K242" s="8" t="s">
        <v>19</v>
      </c>
      <c r="L242" s="11">
        <v>20</v>
      </c>
      <c r="M242" s="11">
        <v>10</v>
      </c>
      <c r="N242" s="11">
        <v>20</v>
      </c>
    </row>
    <row r="243" spans="1:14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21"/>
      <c r="J243" s="21" t="str">
        <f t="shared" si="3"/>
        <v/>
      </c>
      <c r="K243" s="8" t="s">
        <v>23</v>
      </c>
      <c r="L243" s="11">
        <v>0</v>
      </c>
      <c r="M243" s="11">
        <v>0</v>
      </c>
      <c r="N243" s="11">
        <v>5</v>
      </c>
    </row>
    <row r="244" spans="1:14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21">
        <v>30</v>
      </c>
      <c r="J244" s="21">
        <f t="shared" si="3"/>
        <v>30</v>
      </c>
      <c r="K244" s="8" t="s">
        <v>19</v>
      </c>
      <c r="L244" s="11">
        <v>20</v>
      </c>
      <c r="M244" s="11">
        <v>3</v>
      </c>
      <c r="N244" s="11">
        <v>62</v>
      </c>
    </row>
    <row r="245" spans="1:14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21"/>
      <c r="J245" s="21" t="str">
        <f t="shared" si="3"/>
        <v/>
      </c>
      <c r="K245" s="8" t="s">
        <v>19</v>
      </c>
      <c r="L245" s="11">
        <v>20</v>
      </c>
      <c r="M245" s="11">
        <v>15</v>
      </c>
      <c r="N245" s="11">
        <v>15</v>
      </c>
    </row>
    <row r="246" spans="1:14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21"/>
      <c r="J246" s="21" t="str">
        <f t="shared" si="3"/>
        <v/>
      </c>
      <c r="K246" s="8" t="s">
        <v>23</v>
      </c>
      <c r="L246" s="11">
        <v>0</v>
      </c>
      <c r="M246" s="11">
        <v>1</v>
      </c>
      <c r="N246" s="11">
        <v>4</v>
      </c>
    </row>
    <row r="247" spans="1:14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21">
        <v>30</v>
      </c>
      <c r="J247" s="21">
        <f t="shared" si="3"/>
        <v>30</v>
      </c>
      <c r="K247" s="8" t="s">
        <v>19</v>
      </c>
      <c r="L247" s="11">
        <v>20</v>
      </c>
      <c r="M247" s="11">
        <v>7</v>
      </c>
      <c r="N247" s="11">
        <v>58</v>
      </c>
    </row>
    <row r="248" spans="1:14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21"/>
      <c r="J248" s="21" t="str">
        <f t="shared" si="3"/>
        <v/>
      </c>
      <c r="K248" s="8" t="s">
        <v>19</v>
      </c>
      <c r="L248" s="11">
        <v>20</v>
      </c>
      <c r="M248" s="11">
        <v>10</v>
      </c>
      <c r="N248" s="11">
        <v>20</v>
      </c>
    </row>
    <row r="249" spans="1:14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21"/>
      <c r="J249" s="21" t="str">
        <f t="shared" si="3"/>
        <v/>
      </c>
      <c r="K249" s="8" t="s">
        <v>23</v>
      </c>
      <c r="L249" s="11">
        <v>0</v>
      </c>
      <c r="M249" s="11">
        <v>0</v>
      </c>
      <c r="N249" s="11">
        <v>5</v>
      </c>
    </row>
    <row r="250" spans="1:14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21">
        <v>30</v>
      </c>
      <c r="J250" s="21">
        <f t="shared" si="3"/>
        <v>30</v>
      </c>
      <c r="K250" s="8" t="s">
        <v>19</v>
      </c>
      <c r="L250" s="11">
        <v>20</v>
      </c>
      <c r="M250" s="11">
        <v>20</v>
      </c>
      <c r="N250" s="11">
        <v>45</v>
      </c>
    </row>
    <row r="251" spans="1:14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21"/>
      <c r="J251" s="21" t="str">
        <f t="shared" si="3"/>
        <v/>
      </c>
      <c r="K251" s="8" t="s">
        <v>19</v>
      </c>
      <c r="L251" s="11">
        <v>20</v>
      </c>
      <c r="M251" s="11">
        <v>15</v>
      </c>
      <c r="N251" s="11">
        <v>15</v>
      </c>
    </row>
    <row r="252" spans="1:14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21"/>
      <c r="J252" s="21" t="str">
        <f t="shared" si="3"/>
        <v/>
      </c>
      <c r="K252" s="8" t="s">
        <v>23</v>
      </c>
      <c r="L252" s="11">
        <v>0</v>
      </c>
      <c r="M252" s="11">
        <v>1</v>
      </c>
      <c r="N252" s="11">
        <v>4</v>
      </c>
    </row>
    <row r="253" spans="1:14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21">
        <v>30</v>
      </c>
      <c r="J253" s="21">
        <f t="shared" si="3"/>
        <v>30</v>
      </c>
      <c r="K253" s="8" t="s">
        <v>19</v>
      </c>
      <c r="L253" s="11">
        <v>20</v>
      </c>
      <c r="M253" s="11">
        <v>3</v>
      </c>
      <c r="N253" s="11">
        <v>62</v>
      </c>
    </row>
    <row r="254" spans="1:14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21"/>
      <c r="J254" s="21" t="str">
        <f t="shared" si="3"/>
        <v/>
      </c>
      <c r="K254" s="8" t="s">
        <v>19</v>
      </c>
      <c r="L254" s="11">
        <v>20</v>
      </c>
      <c r="M254" s="11">
        <v>10</v>
      </c>
      <c r="N254" s="11">
        <v>20</v>
      </c>
    </row>
    <row r="255" spans="1:14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21"/>
      <c r="J255" s="21" t="str">
        <f t="shared" si="3"/>
        <v/>
      </c>
      <c r="K255" s="8" t="s">
        <v>23</v>
      </c>
      <c r="L255" s="11">
        <v>0</v>
      </c>
      <c r="M255" s="11">
        <v>0</v>
      </c>
      <c r="N255" s="11">
        <v>5</v>
      </c>
    </row>
    <row r="256" spans="1:14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21">
        <v>30</v>
      </c>
      <c r="J256" s="21">
        <f t="shared" si="3"/>
        <v>30</v>
      </c>
      <c r="K256" s="8" t="s">
        <v>19</v>
      </c>
      <c r="L256" s="11">
        <v>20</v>
      </c>
      <c r="M256" s="11">
        <v>15</v>
      </c>
      <c r="N256" s="11">
        <v>50</v>
      </c>
    </row>
    <row r="257" spans="1:14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21"/>
      <c r="J257" s="21" t="str">
        <f t="shared" si="3"/>
        <v/>
      </c>
      <c r="K257" s="8" t="s">
        <v>23</v>
      </c>
      <c r="L257" s="11">
        <v>0</v>
      </c>
      <c r="M257" s="11">
        <v>0</v>
      </c>
      <c r="N257" s="11">
        <v>5</v>
      </c>
    </row>
    <row r="258" spans="1:14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21">
        <v>30</v>
      </c>
      <c r="J258" s="21">
        <f t="shared" ref="J258:J321" si="4">IF(I258="","",VALUE(I258))</f>
        <v>30</v>
      </c>
      <c r="K258" s="8" t="s">
        <v>19</v>
      </c>
      <c r="L258" s="11">
        <v>20</v>
      </c>
      <c r="M258" s="11">
        <v>7</v>
      </c>
      <c r="N258" s="11">
        <v>58</v>
      </c>
    </row>
    <row r="259" spans="1:14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21"/>
      <c r="J259" s="21" t="str">
        <f t="shared" si="4"/>
        <v/>
      </c>
      <c r="K259" s="8" t="s">
        <v>19</v>
      </c>
      <c r="L259" s="11">
        <v>20</v>
      </c>
      <c r="M259" s="11">
        <v>10</v>
      </c>
      <c r="N259" s="11">
        <v>20</v>
      </c>
    </row>
    <row r="260" spans="1:14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21"/>
      <c r="J260" s="21" t="str">
        <f t="shared" si="4"/>
        <v/>
      </c>
      <c r="K260" s="8" t="s">
        <v>23</v>
      </c>
      <c r="L260" s="11">
        <v>0</v>
      </c>
      <c r="M260" s="11">
        <v>1</v>
      </c>
      <c r="N260" s="11">
        <v>4</v>
      </c>
    </row>
    <row r="261" spans="1:14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21">
        <v>30</v>
      </c>
      <c r="J261" s="21">
        <f t="shared" si="4"/>
        <v>30</v>
      </c>
      <c r="K261" s="8" t="s">
        <v>19</v>
      </c>
      <c r="L261" s="11">
        <v>20</v>
      </c>
      <c r="M261" s="11">
        <v>15</v>
      </c>
      <c r="N261" s="11">
        <v>50</v>
      </c>
    </row>
    <row r="262" spans="1:14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21"/>
      <c r="J262" s="21" t="str">
        <f t="shared" si="4"/>
        <v/>
      </c>
      <c r="K262" s="8" t="s">
        <v>19</v>
      </c>
      <c r="L262" s="11">
        <v>20</v>
      </c>
      <c r="M262" s="11">
        <v>5</v>
      </c>
      <c r="N262" s="11">
        <v>25</v>
      </c>
    </row>
    <row r="263" spans="1:14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21"/>
      <c r="J263" s="21" t="str">
        <f t="shared" si="4"/>
        <v/>
      </c>
      <c r="K263" s="8" t="s">
        <v>23</v>
      </c>
      <c r="L263" s="11">
        <v>0</v>
      </c>
      <c r="M263" s="11">
        <v>0</v>
      </c>
      <c r="N263" s="11">
        <v>5</v>
      </c>
    </row>
    <row r="264" spans="1:14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21">
        <v>30</v>
      </c>
      <c r="J264" s="21">
        <f t="shared" si="4"/>
        <v>30</v>
      </c>
      <c r="K264" s="8" t="s">
        <v>19</v>
      </c>
      <c r="L264" s="11">
        <v>20</v>
      </c>
      <c r="M264" s="11">
        <v>20</v>
      </c>
      <c r="N264" s="11">
        <v>45</v>
      </c>
    </row>
    <row r="265" spans="1:14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21"/>
      <c r="J265" s="21" t="str">
        <f t="shared" si="4"/>
        <v/>
      </c>
      <c r="K265" s="8" t="s">
        <v>19</v>
      </c>
      <c r="L265" s="11">
        <v>20</v>
      </c>
      <c r="M265" s="11">
        <v>12</v>
      </c>
      <c r="N265" s="11">
        <v>18</v>
      </c>
    </row>
    <row r="266" spans="1:14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21"/>
      <c r="J266" s="21" t="str">
        <f t="shared" si="4"/>
        <v/>
      </c>
      <c r="K266" s="8" t="s">
        <v>23</v>
      </c>
      <c r="L266" s="11">
        <v>0</v>
      </c>
      <c r="M266" s="11">
        <v>2</v>
      </c>
      <c r="N266" s="11">
        <v>3</v>
      </c>
    </row>
    <row r="267" spans="1:14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21">
        <v>30</v>
      </c>
      <c r="J267" s="21">
        <f t="shared" si="4"/>
        <v>30</v>
      </c>
      <c r="K267" s="8" t="s">
        <v>19</v>
      </c>
      <c r="L267" s="11">
        <v>20</v>
      </c>
      <c r="M267" s="11">
        <v>5</v>
      </c>
      <c r="N267" s="11">
        <v>60</v>
      </c>
    </row>
    <row r="268" spans="1:14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21"/>
      <c r="J268" s="21" t="str">
        <f t="shared" si="4"/>
        <v/>
      </c>
      <c r="K268" s="8" t="s">
        <v>19</v>
      </c>
      <c r="L268" s="11">
        <v>20</v>
      </c>
      <c r="M268" s="11">
        <v>10</v>
      </c>
      <c r="N268" s="11">
        <v>20</v>
      </c>
    </row>
    <row r="269" spans="1:14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21"/>
      <c r="J269" s="21" t="str">
        <f t="shared" si="4"/>
        <v/>
      </c>
      <c r="K269" s="8" t="s">
        <v>23</v>
      </c>
      <c r="L269" s="11">
        <v>0</v>
      </c>
      <c r="M269" s="11">
        <v>0</v>
      </c>
      <c r="N269" s="11">
        <v>5</v>
      </c>
    </row>
    <row r="270" spans="1:14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21">
        <v>30</v>
      </c>
      <c r="J270" s="21">
        <f t="shared" si="4"/>
        <v>30</v>
      </c>
      <c r="K270" s="8" t="s">
        <v>19</v>
      </c>
      <c r="L270" s="11">
        <v>20</v>
      </c>
      <c r="M270" s="11">
        <v>3</v>
      </c>
      <c r="N270" s="11">
        <v>62</v>
      </c>
    </row>
    <row r="271" spans="1:14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21"/>
      <c r="J271" s="21" t="str">
        <f t="shared" si="4"/>
        <v/>
      </c>
      <c r="K271" s="8" t="s">
        <v>19</v>
      </c>
      <c r="L271" s="11">
        <v>20</v>
      </c>
      <c r="M271" s="11">
        <v>15</v>
      </c>
      <c r="N271" s="11">
        <v>15</v>
      </c>
    </row>
    <row r="272" spans="1:14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21"/>
      <c r="J272" s="21" t="str">
        <f t="shared" si="4"/>
        <v/>
      </c>
      <c r="K272" s="8" t="s">
        <v>23</v>
      </c>
      <c r="L272" s="11">
        <v>0</v>
      </c>
      <c r="M272" s="11">
        <v>1</v>
      </c>
      <c r="N272" s="11">
        <v>4</v>
      </c>
    </row>
    <row r="273" spans="1:14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21">
        <v>30</v>
      </c>
      <c r="J273" s="21">
        <f t="shared" si="4"/>
        <v>30</v>
      </c>
      <c r="K273" s="8" t="s">
        <v>19</v>
      </c>
      <c r="L273" s="11">
        <v>20</v>
      </c>
      <c r="M273" s="11">
        <v>7</v>
      </c>
      <c r="N273" s="11">
        <v>58</v>
      </c>
    </row>
    <row r="274" spans="1:14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21"/>
      <c r="J274" s="21" t="str">
        <f t="shared" si="4"/>
        <v/>
      </c>
      <c r="K274" s="8" t="s">
        <v>19</v>
      </c>
      <c r="L274" s="11">
        <v>20</v>
      </c>
      <c r="M274" s="11">
        <v>10</v>
      </c>
      <c r="N274" s="11">
        <v>20</v>
      </c>
    </row>
    <row r="275" spans="1:14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21"/>
      <c r="J275" s="21" t="str">
        <f t="shared" si="4"/>
        <v/>
      </c>
      <c r="K275" s="8" t="s">
        <v>23</v>
      </c>
      <c r="L275" s="11">
        <v>0</v>
      </c>
      <c r="M275" s="11">
        <v>0</v>
      </c>
      <c r="N275" s="11">
        <v>5</v>
      </c>
    </row>
    <row r="276" spans="1:14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21">
        <v>30</v>
      </c>
      <c r="J276" s="21">
        <f t="shared" si="4"/>
        <v>30</v>
      </c>
      <c r="K276" s="8" t="s">
        <v>19</v>
      </c>
      <c r="L276" s="11">
        <v>20</v>
      </c>
      <c r="M276" s="11">
        <v>20</v>
      </c>
      <c r="N276" s="11">
        <v>45</v>
      </c>
    </row>
    <row r="277" spans="1:14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21"/>
      <c r="J277" s="21" t="str">
        <f t="shared" si="4"/>
        <v/>
      </c>
      <c r="K277" s="8" t="s">
        <v>19</v>
      </c>
      <c r="L277" s="11">
        <v>20</v>
      </c>
      <c r="M277" s="11">
        <v>15</v>
      </c>
      <c r="N277" s="11">
        <v>15</v>
      </c>
    </row>
    <row r="278" spans="1:14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21"/>
      <c r="J278" s="21" t="str">
        <f t="shared" si="4"/>
        <v/>
      </c>
      <c r="K278" s="8" t="s">
        <v>23</v>
      </c>
      <c r="L278" s="11">
        <v>0</v>
      </c>
      <c r="M278" s="11">
        <v>1</v>
      </c>
      <c r="N278" s="11">
        <v>4</v>
      </c>
    </row>
    <row r="279" spans="1:14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21">
        <v>30</v>
      </c>
      <c r="J279" s="21">
        <f t="shared" si="4"/>
        <v>30</v>
      </c>
      <c r="K279" s="8" t="s">
        <v>19</v>
      </c>
      <c r="L279" s="11">
        <v>20</v>
      </c>
      <c r="M279" s="11">
        <v>3</v>
      </c>
      <c r="N279" s="11">
        <v>62</v>
      </c>
    </row>
    <row r="280" spans="1:14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21"/>
      <c r="J280" s="21" t="str">
        <f t="shared" si="4"/>
        <v/>
      </c>
      <c r="K280" s="8" t="s">
        <v>19</v>
      </c>
      <c r="L280" s="11">
        <v>20</v>
      </c>
      <c r="M280" s="11">
        <v>10</v>
      </c>
      <c r="N280" s="11">
        <v>20</v>
      </c>
    </row>
    <row r="281" spans="1:14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21"/>
      <c r="J281" s="21" t="str">
        <f t="shared" si="4"/>
        <v/>
      </c>
      <c r="K281" s="8" t="s">
        <v>23</v>
      </c>
      <c r="L281" s="11">
        <v>0</v>
      </c>
      <c r="M281" s="11">
        <v>0</v>
      </c>
      <c r="N281" s="11">
        <v>5</v>
      </c>
    </row>
    <row r="282" spans="1:14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21">
        <v>30</v>
      </c>
      <c r="J282" s="21">
        <f t="shared" si="4"/>
        <v>30</v>
      </c>
      <c r="K282" s="8" t="s">
        <v>19</v>
      </c>
      <c r="L282" s="11">
        <v>20</v>
      </c>
      <c r="M282" s="11">
        <v>15</v>
      </c>
      <c r="N282" s="11">
        <v>50</v>
      </c>
    </row>
    <row r="283" spans="1:14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21"/>
      <c r="J283" s="21" t="str">
        <f t="shared" si="4"/>
        <v/>
      </c>
      <c r="K283" s="8" t="s">
        <v>19</v>
      </c>
      <c r="L283" s="11">
        <v>20</v>
      </c>
      <c r="M283" s="11">
        <v>15</v>
      </c>
      <c r="N283" s="11">
        <v>15</v>
      </c>
    </row>
    <row r="284" spans="1:14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21"/>
      <c r="J284" s="21" t="str">
        <f t="shared" si="4"/>
        <v/>
      </c>
      <c r="K284" s="8" t="s">
        <v>23</v>
      </c>
      <c r="L284" s="11">
        <v>0</v>
      </c>
      <c r="M284" s="11">
        <v>1</v>
      </c>
      <c r="N284" s="11">
        <v>4</v>
      </c>
    </row>
    <row r="285" spans="1:14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21">
        <v>30</v>
      </c>
      <c r="J285" s="21">
        <f t="shared" si="4"/>
        <v>30</v>
      </c>
      <c r="K285" s="8" t="s">
        <v>19</v>
      </c>
      <c r="L285" s="11">
        <v>20</v>
      </c>
      <c r="M285" s="11">
        <v>7</v>
      </c>
      <c r="N285" s="11">
        <v>58</v>
      </c>
    </row>
    <row r="286" spans="1:14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21"/>
      <c r="J286" s="21" t="str">
        <f t="shared" si="4"/>
        <v/>
      </c>
      <c r="K286" s="8" t="s">
        <v>19</v>
      </c>
      <c r="L286" s="11">
        <v>20</v>
      </c>
      <c r="M286" s="11">
        <v>10</v>
      </c>
      <c r="N286" s="11">
        <v>20</v>
      </c>
    </row>
    <row r="287" spans="1:14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21"/>
      <c r="J287" s="21" t="str">
        <f t="shared" si="4"/>
        <v/>
      </c>
      <c r="K287" s="8" t="s">
        <v>23</v>
      </c>
      <c r="L287" s="11">
        <v>0</v>
      </c>
      <c r="M287" s="11">
        <v>0</v>
      </c>
      <c r="N287" s="11">
        <v>5</v>
      </c>
    </row>
    <row r="288" spans="1:14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21">
        <v>30</v>
      </c>
      <c r="J288" s="21">
        <f t="shared" si="4"/>
        <v>30</v>
      </c>
      <c r="K288" s="8" t="s">
        <v>19</v>
      </c>
      <c r="L288" s="11">
        <v>20</v>
      </c>
      <c r="M288" s="11">
        <v>20</v>
      </c>
      <c r="N288" s="11">
        <v>45</v>
      </c>
    </row>
    <row r="289" spans="1:14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21"/>
      <c r="J289" s="21" t="str">
        <f t="shared" si="4"/>
        <v/>
      </c>
      <c r="K289" s="8" t="s">
        <v>19</v>
      </c>
      <c r="L289" s="11">
        <v>20</v>
      </c>
      <c r="M289" s="11">
        <v>12</v>
      </c>
      <c r="N289" s="11">
        <v>18</v>
      </c>
    </row>
    <row r="290" spans="1:14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21"/>
      <c r="J290" s="21" t="str">
        <f t="shared" si="4"/>
        <v/>
      </c>
      <c r="K290" s="8" t="s">
        <v>23</v>
      </c>
      <c r="L290" s="11">
        <v>0</v>
      </c>
      <c r="M290" s="11">
        <v>2</v>
      </c>
      <c r="N290" s="11">
        <v>3</v>
      </c>
    </row>
    <row r="291" spans="1:14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21">
        <v>30</v>
      </c>
      <c r="J291" s="21">
        <f t="shared" si="4"/>
        <v>30</v>
      </c>
      <c r="K291" s="8" t="s">
        <v>19</v>
      </c>
      <c r="L291" s="11">
        <v>20</v>
      </c>
      <c r="M291" s="11">
        <v>5</v>
      </c>
      <c r="N291" s="11">
        <v>60</v>
      </c>
    </row>
    <row r="292" spans="1:14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21"/>
      <c r="J292" s="21" t="str">
        <f t="shared" si="4"/>
        <v/>
      </c>
      <c r="K292" s="8" t="s">
        <v>19</v>
      </c>
      <c r="L292" s="11">
        <v>20</v>
      </c>
      <c r="M292" s="11">
        <v>10</v>
      </c>
      <c r="N292" s="11">
        <v>20</v>
      </c>
    </row>
    <row r="293" spans="1:14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21"/>
      <c r="J293" s="21" t="str">
        <f t="shared" si="4"/>
        <v/>
      </c>
      <c r="K293" s="8" t="s">
        <v>23</v>
      </c>
      <c r="L293" s="11">
        <v>0</v>
      </c>
      <c r="M293" s="11">
        <v>0</v>
      </c>
      <c r="N293" s="11">
        <v>5</v>
      </c>
    </row>
    <row r="294" spans="1:14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21">
        <v>30</v>
      </c>
      <c r="J294" s="21">
        <f t="shared" si="4"/>
        <v>30</v>
      </c>
      <c r="K294" s="8" t="s">
        <v>19</v>
      </c>
      <c r="L294" s="11">
        <v>20</v>
      </c>
      <c r="M294" s="11">
        <v>3</v>
      </c>
      <c r="N294" s="11">
        <v>62</v>
      </c>
    </row>
    <row r="295" spans="1:14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21"/>
      <c r="J295" s="21" t="str">
        <f t="shared" si="4"/>
        <v/>
      </c>
      <c r="K295" s="8" t="s">
        <v>19</v>
      </c>
      <c r="L295" s="11">
        <v>20</v>
      </c>
      <c r="M295" s="11">
        <v>15</v>
      </c>
      <c r="N295" s="11">
        <v>15</v>
      </c>
    </row>
    <row r="296" spans="1:14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21"/>
      <c r="J296" s="21" t="str">
        <f t="shared" si="4"/>
        <v/>
      </c>
      <c r="K296" s="8" t="s">
        <v>23</v>
      </c>
      <c r="L296" s="11">
        <v>0</v>
      </c>
      <c r="M296" s="11">
        <v>1</v>
      </c>
      <c r="N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37"/>
  <sheetViews>
    <sheetView showGridLines="0" showRowColHeaders="0" tabSelected="1" zoomScaleNormal="100" workbookViewId="0">
      <selection activeCell="A5" sqref="A5"/>
    </sheetView>
  </sheetViews>
  <sheetFormatPr defaultRowHeight="15" x14ac:dyDescent="0.25"/>
  <cols>
    <col min="1" max="1" width="29.140625" style="4" customWidth="1"/>
    <col min="2" max="2" width="3.5703125" customWidth="1"/>
    <col min="12" max="12" width="6.5703125" customWidth="1"/>
  </cols>
  <sheetData>
    <row r="2" spans="2:20" ht="43.5" customHeight="1" thickBot="1" x14ac:dyDescent="0.4">
      <c r="C2" s="15" t="s">
        <v>315</v>
      </c>
      <c r="D2" s="16"/>
      <c r="E2" s="16"/>
      <c r="F2" s="16"/>
      <c r="G2" s="16"/>
      <c r="H2" s="17"/>
      <c r="I2" s="17"/>
      <c r="J2" s="17"/>
      <c r="K2" s="17"/>
      <c r="L2" s="17"/>
      <c r="M2" s="17"/>
      <c r="N2" s="17"/>
    </row>
    <row r="3" spans="2:20" ht="13.5" customHeight="1" thickTop="1" x14ac:dyDescent="0.25"/>
    <row r="4" spans="2:20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2:20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2:20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2:20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2:20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2:20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2:20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2:20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2:20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2:20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2:20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2:20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2:20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2:20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2:20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2:20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2:20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2:20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2:20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2:20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2:20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2:20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2:20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2:20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2:20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2:20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2:20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2:20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2:20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2:20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2:20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2:20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2:20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2:20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C̳álculos</vt:lpstr>
      <vt:lpstr>B̳ases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Artur Salvador</cp:lastModifiedBy>
  <dcterms:created xsi:type="dcterms:W3CDTF">2024-12-19T13:13:10Z</dcterms:created>
  <dcterms:modified xsi:type="dcterms:W3CDTF">2026-01-14T22:04:22Z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